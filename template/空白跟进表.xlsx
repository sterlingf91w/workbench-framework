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跟进待办" sheetId="1" state="visible" r:id="rId1"/>
    <sheet xmlns:r="http://schemas.openxmlformats.org/officeDocument/2006/relationships" name="公司" sheetId="2" state="visible" r:id="rId2"/>
    <sheet xmlns:r="http://schemas.openxmlformats.org/officeDocument/2006/relationships" name="联系人" sheetId="3" state="visible" r:id="rId3"/>
    <sheet xmlns:r="http://schemas.openxmlformats.org/officeDocument/2006/relationships" name="用胶项目" sheetId="4" state="visible" r:id="rId4"/>
    <sheet xmlns:r="http://schemas.openxmlformats.org/officeDocument/2006/relationships" name="沟通记录" sheetId="5" state="visible" r:id="rId5"/>
    <sheet xmlns:r="http://schemas.openxmlformats.org/officeDocument/2006/relationships" name="样品测试" sheetId="6" state="visible" r:id="rId6"/>
    <sheet xmlns:r="http://schemas.openxmlformats.org/officeDocument/2006/relationships" name="技术经验" sheetId="7" state="visible" r:id="rId7"/>
    <sheet xmlns:r="http://schemas.openxmlformats.org/officeDocument/2006/relationships" name="每日复盘" sheetId="8" state="visible" r:id="rId8"/>
    <sheet xmlns:r="http://schemas.openxmlformats.org/officeDocument/2006/relationships" name="使用说明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#"/>
  </numFmts>
  <fonts count="7">
    <font>
      <name val="Carlito"/>
      <sz val="11"/>
    </font>
    <font>
      <name val="Arial"/>
      <color rgb="FF243746"/>
      <sz val="11"/>
    </font>
    <font>
      <name val="Arial"/>
      <b val="1"/>
      <color rgb="FF203E5B"/>
      <sz val="16"/>
    </font>
    <font>
      <name val="Arial"/>
      <color rgb="FF5B6876"/>
      <sz val="10"/>
    </font>
    <font>
      <name val="Arial"/>
      <color rgb="FF8B6508"/>
      <sz val="10"/>
    </font>
    <font>
      <name val="Arial"/>
      <b val="1"/>
      <color rgb="FFFFFFFF"/>
      <sz val="11"/>
    </font>
    <font>
      <name val="Arial"/>
      <b val="1"/>
      <color rgb="FF243746"/>
      <sz val="11"/>
    </font>
  </fonts>
  <fills count="6">
    <fill>
      <patternFill/>
    </fill>
    <fill>
      <patternFill patternType="gray125"/>
    </fill>
    <fill>
      <patternFill patternType="solid">
        <fgColor rgb="FFFFF1CA"/>
      </patternFill>
    </fill>
    <fill>
      <patternFill patternType="solid">
        <fgColor rgb="FF203E5B"/>
      </patternFill>
    </fill>
    <fill>
      <patternFill patternType="solid">
        <fgColor rgb="FFFFFCF2"/>
      </patternFill>
    </fill>
    <fill>
      <patternFill patternType="solid">
        <fgColor rgb="FF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49" fontId="1" fillId="4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5" fillId="3" borderId="0" applyAlignment="1" pivotButton="0" quotePrefix="0" xfId="0">
      <alignment vertical="center" wrapText="1"/>
    </xf>
    <xf numFmtId="164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49" fontId="1" fillId="5" borderId="0" applyAlignment="1" pivotButton="0" quotePrefix="0" xfId="0">
      <alignment vertical="center" wrapText="1"/>
    </xf>
    <xf numFmtId="165" fontId="1" fillId="2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5" fontId="5" fillId="3" borderId="0" applyAlignment="1" pivotButton="0" quotePrefix="0" xfId="0">
      <alignment vertical="center" wrapText="1"/>
    </xf>
    <xf numFmtId="165" fontId="1" fillId="4" borderId="0" applyAlignment="1" pivotButton="0" quotePrefix="0" xfId="0">
      <alignment vertical="center" wrapText="1"/>
    </xf>
    <xf numFmtId="0" fontId="2" fillId="0" borderId="0" pivotButton="0" quotePrefix="0" xfId="0"/>
    <xf numFmtId="164" fontId="1" fillId="0" borderId="0" pivotButton="0" quotePrefix="0" xfId="0"/>
    <xf numFmtId="164" fontId="1" fillId="2" borderId="0" pivotButton="0" quotePrefix="0" xfId="0"/>
    <xf numFmtId="0" fontId="1" fillId="0" borderId="0" applyAlignment="1" pivotButton="0" quotePrefix="0" xfId="0">
      <alignment wrapText="1"/>
    </xf>
    <xf numFmtId="164" fontId="1" fillId="2" borderId="0" applyAlignment="1" pivotButton="0" quotePrefix="0" xfId="0">
      <alignment wrapText="1"/>
    </xf>
    <xf numFmtId="0" fontId="6" fillId="0" borderId="0" pivotButton="0" quotePrefix="0" xfId="0"/>
    <xf numFmtId="0" fontId="1" fillId="5" borderId="0" applyAlignment="1" pivotButton="0" quotePrefix="0" xfId="0">
      <alignment wrapText="1"/>
    </xf>
    <xf numFmtId="164" fontId="1" fillId="2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5" fillId="3" borderId="0" applyAlignment="1" pivotButton="0" quotePrefix="0" xfId="0">
      <alignment vertical="center" wrapText="1"/>
    </xf>
    <xf numFmtId="49" fontId="1" fillId="4" borderId="0" applyAlignment="1" pivotButton="0" quotePrefix="0" xfId="0">
      <alignment vertical="center" wrapText="1"/>
    </xf>
    <xf numFmtId="164" fontId="1" fillId="4" borderId="0" applyAlignment="1" pivotButton="0" quotePrefix="0" xfId="0">
      <alignment vertical="center" wrapText="1"/>
    </xf>
    <xf numFmtId="49" fontId="1" fillId="5" borderId="0" applyAlignment="1" pivotButton="0" quotePrefix="0" xfId="0">
      <alignment vertical="center" wrapText="1"/>
    </xf>
    <xf numFmtId="165" fontId="1" fillId="2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5" fontId="5" fillId="3" borderId="0" applyAlignment="1" pivotButton="0" quotePrefix="0" xfId="0">
      <alignment vertical="center" wrapText="1"/>
    </xf>
    <xf numFmtId="165" fontId="1" fillId="4" borderId="0" applyAlignment="1" pivotButton="0" quotePrefix="0" xfId="0">
      <alignment vertical="center" wrapText="1"/>
    </xf>
    <xf numFmtId="164" fontId="1" fillId="2" borderId="0" applyAlignment="1" pivotButton="0" quotePrefix="0" xfId="0">
      <alignment wrapText="1"/>
    </xf>
  </cellXfs>
  <cellStyles count="1">
    <cellStyle name="Normal" xfId="0"/>
  </cellStyles>
  <dxfs count="18"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color rgb="FFA12727"/>
      </font>
      <fill>
        <patternFill patternType="solid">
          <bgColor rgb="FFFCE1E1"/>
        </patternFill>
      </fill>
    </dxf>
    <dxf>
      <font>
        <b val="1"/>
      </font>
      <fill>
        <patternFill patternType="solid">
          <bgColor rgb="FFFDE8B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Anda1" displayName="Anda1" ref="A7:Q207" headerRowCount="1" totalsRowCount="0" totalsRowShown="0">
  <autoFilter ref="A7:Q207"/>
  <tableColumns count="17">
    <tableColumn id="1" name="任务编号"/>
    <tableColumn id="2" name="公司编号"/>
    <tableColumn id="3" name="公司名称〔自动〕"/>
    <tableColumn id="4" name="联系人编号"/>
    <tableColumn id="5" name="项目编号"/>
    <tableColumn id="6" name="样品编号"/>
    <tableColumn id="7" name="事项类型"/>
    <tableColumn id="8" name="下一步具体动作"/>
    <tableColumn id="9" name="负责人"/>
    <tableColumn id="10" name="计划日期"/>
    <tableColumn id="11" name="日期依据"/>
    <tableColumn id="12" name="状态"/>
    <tableColumn id="13" name="完成日期"/>
    <tableColumn id="14" name="完成证据或反馈"/>
    <tableColumn id="15" name="来源沟通编号"/>
    <tableColumn id="16" name="提醒〔自动〕"/>
    <tableColumn id="17" name="关联检查〔自动〕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Anda2" displayName="Anda2" ref="A7:M207" headerRowCount="1" totalsRowCount="0" totalsRowShown="0">
  <autoFilter ref="A7:M207"/>
  <tableColumns count="13">
    <tableColumn id="1" name="公司编号"/>
    <tableColumn id="2" name="公司名称"/>
    <tableColumn id="3" name="市场"/>
    <tableColumn id="4" name="国家或地区"/>
    <tableColumn id="5" name="行业"/>
    <tableColumn id="6" name="客户来源"/>
    <tableColumn id="7" name="官网"/>
    <tableColumn id="8" name="社媒主页"/>
    <tableColumn id="9" name="地址"/>
    <tableColumn id="10" name="客户负责人"/>
    <tableColumn id="11" name="备注"/>
    <tableColumn id="12" name="原始来源"/>
    <tableColumn id="13" name="编号检查〔自动〕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Anda3" displayName="Anda3" ref="A7:N207" headerRowCount="1" totalsRowCount="0" totalsRowShown="0">
  <autoFilter ref="A7:N207"/>
  <tableColumns count="14">
    <tableColumn id="1" name="联系人编号"/>
    <tableColumn id="2" name="公司编号"/>
    <tableColumn id="3" name="公司名称〔自动〕"/>
    <tableColumn id="4" name="姓名"/>
    <tableColumn id="5" name="职位"/>
    <tableColumn id="6" name="项目职责"/>
    <tableColumn id="7" name="电话"/>
    <tableColumn id="8" name="邮箱"/>
    <tableColumn id="9" name="微信或社媒"/>
    <tableColumn id="10" name="沟通语言"/>
    <tableColumn id="11" name="时区"/>
    <tableColumn id="12" name="在职状态"/>
    <tableColumn id="13" name="来源与确认日期"/>
    <tableColumn id="14" name="关联检查〔自动〕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Anda4" displayName="Anda4" ref="A7:T207" headerRowCount="1" totalsRowCount="0" totalsRowShown="0">
  <autoFilter ref="A7:T207"/>
  <tableColumns count="20">
    <tableColumn id="1" name="项目编号"/>
    <tableColumn id="2" name="公司编号"/>
    <tableColumn id="3" name="公司名称〔自动〕"/>
    <tableColumn id="4" name="主要联系人编号"/>
    <tableColumn id="5" name="终端产品"/>
    <tableColumn id="6" name="用胶部位"/>
    <tableColumn id="7" name="基材"/>
    <tableColumn id="8" name="当前工艺与固化条件"/>
    <tableColumn id="9" name="现用材料或型号"/>
    <tableColumn id="10" name="客户问题与目标"/>
    <tableColumn id="11" name="测试项目及合格条件"/>
    <tableColumn id="12" name="客户生产用量"/>
    <tableColumn id="13" name="用量单位及周期"/>
    <tableColumn id="14" name="候选型号"/>
    <tableColumn id="15" name="选型状态"/>
    <tableColumn id="16" name="选型依据或技术问答编号"/>
    <tableColumn id="17" name="阶段"/>
    <tableColumn id="18" name="本轮推进目标"/>
    <tableColumn id="19" name="原始来源与定位"/>
    <tableColumn id="20" name="关联检查〔自动〕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Anda5" displayName="Anda5" ref="A7:P207" headerRowCount="1" totalsRowCount="0" totalsRowShown="0">
  <autoFilter ref="A7:P207"/>
  <tableColumns count="16">
    <tableColumn id="1" name="沟通编号"/>
    <tableColumn id="2" name="日期"/>
    <tableColumn id="3" name="公司编号"/>
    <tableColumn id="4" name="联系人编号"/>
    <tableColumn id="5" name="项目编号"/>
    <tableColumn id="6" name="渠道"/>
    <tableColumn id="7" name="我的角色"/>
    <tableColumn id="8" name="客户原话及时间戳"/>
    <tableColumn id="9" name="我方原话及时间戳"/>
    <tableColumn id="10" name="已确认事实"/>
    <tableColumn id="11" name="AI判断或推测"/>
    <tableColumn id="12" name="待核实问题"/>
    <tableColumn id="13" name="本次约定"/>
    <tableColumn id="14" name="下一步任务编号"/>
    <tableColumn id="15" name="原始转写路径或链接"/>
    <tableColumn id="16" name="关联检查〔自动〕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Anda6" displayName="Anda6" ref="A7:V207" headerRowCount="1" totalsRowCount="0" totalsRowShown="0">
  <autoFilter ref="A7:V207"/>
  <tableColumns count="22">
    <tableColumn id="1" name="样品编号"/>
    <tableColumn id="2" name="项目编号"/>
    <tableColumn id="3" name="公司编号〔自动〕"/>
    <tableColumn id="4" name="收件联系人编号"/>
    <tableColumn id="5" name="完整型号"/>
    <tableColumn id="6" name="数量"/>
    <tableColumn id="7" name="单位"/>
    <tableColumn id="8" name="数量依据与确认人"/>
    <tableColumn id="9" name="样品批次"/>
    <tableColumn id="10" name="寄出日期"/>
    <tableColumn id="11" name="快递单号"/>
    <tableColumn id="12" name="签收日期"/>
    <tableColumn id="13" name="测试负责人编号"/>
    <tableColumn id="14" name="约定反馈日期"/>
    <tableColumn id="15" name="日期依据"/>
    <tableColumn id="16" name="测试项目及合格标准"/>
    <tableColumn id="17" name="状态"/>
    <tableColumn id="18" name="测试结果与证据"/>
    <tableColumn id="19" name="问题与下一步"/>
    <tableColumn id="20" name="任务编号"/>
    <tableColumn id="21" name="来源沟通编号"/>
    <tableColumn id="22" name="关联检查〔自动〕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Anda7" displayName="Anda7" ref="A7:Q207" headerRowCount="1" totalsRowCount="0" totalsRowShown="0">
  <autoFilter ref="A7:Q207"/>
  <tableColumns count="17">
    <tableColumn id="1" name="问答编号"/>
    <tableColumn id="2" name="项目编号"/>
    <tableColumn id="3" name="客户问题原话"/>
    <tableColumn id="4" name="应用条件"/>
    <tableColumn id="5" name="答复人"/>
    <tableColumn id="6" name="答复日期"/>
    <tableColumn id="7" name="答复原文"/>
    <tableColumn id="8" name="候选或推荐型号"/>
    <tableColumn id="9" name="为什么选它"/>
    <tableColumn id="10" name="其他方案及排除原因"/>
    <tableColumn id="11" name="不适用条件"/>
    <tableColumn id="12" name="正式资料及版本定位"/>
    <tableColumn id="13" name="证据状态"/>
    <tableColumn id="14" name="客户测试反馈"/>
    <tableColumn id="15" name="来源沟通编号"/>
    <tableColumn id="16" name="待核问题与任务编号"/>
    <tableColumn id="17" name="关联检查〔自动〕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Anda8" displayName="Anda8" ref="A7:N207" headerRowCount="1" totalsRowCount="0" totalsRowShown="0">
  <autoFilter ref="A7:N207"/>
  <tableColumns count="14">
    <tableColumn id="1" name="复盘编号"/>
    <tableColumn id="2" name="日期"/>
    <tableColumn id="3" name="相关沟通编号"/>
    <tableColumn id="4" name="今天推进了什么及证据"/>
    <tableColumn id="5" name="未完成或卡点"/>
    <tableColumn id="6" name="值得保留的动作"/>
    <tableColumn id="7" name="关键改进与原话定位"/>
    <tableColumn id="8" name="替代问法或动作"/>
    <tableColumn id="9" name="方法依据或AI建议标注"/>
    <tableColumn id="10" name="明天一个关键目标"/>
    <tableColumn id="11" name="对应任务编号"/>
    <tableColumn id="12" name="一次练习及验收标准"/>
    <tableColumn id="13" name="执行后反馈"/>
    <tableColumn id="14" name="编号检查〔自动〕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203E5B"/>
    <outlinePr summaryBelow="1" summaryRight="1"/>
    <pageSetUpPr/>
  </sheetPr>
  <dimension ref="A1:Q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36" customWidth="1" min="8" max="8"/>
    <col width="19" customWidth="1" min="9" max="9"/>
    <col width="16" customWidth="1" min="10" max="10"/>
    <col width="36" customWidth="1" min="11" max="11"/>
    <col width="19" customWidth="1" min="12" max="12"/>
    <col width="16" customWidth="1" min="13" max="13"/>
    <col width="36" customWidth="1" min="14" max="14"/>
    <col width="36" customWidth="1" min="15" max="15"/>
    <col width="19" customWidth="1" min="16" max="16"/>
    <col width="19" customWidth="1" min="17" max="17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4" customHeight="1">
      <c r="A2" s="4" t="inlineStr">
        <is>
          <t>跟进待办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4" customHeight="1">
      <c r="A3" s="5" t="inlineStr">
        <is>
          <t>每行一件事。日期填写实际约定或本人计划；关闭任务时保留完成证据。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00" customHeight="1">
      <c r="A5" s="7" t="inlineStr">
        <is>
          <t>T示例001</t>
        </is>
      </c>
      <c r="B5" s="7" t="inlineStr">
        <is>
          <t>C示例001</t>
        </is>
      </c>
      <c r="C5" s="7" t="inlineStr">
        <is>
          <t>示例电源公司</t>
        </is>
      </c>
      <c r="D5" s="7" t="inlineStr">
        <is>
          <t>P示例001</t>
        </is>
      </c>
      <c r="E5" s="7" t="inlineStr">
        <is>
          <t>J示例001</t>
        </is>
      </c>
      <c r="F5" s="7" t="str"/>
      <c r="G5" s="7" t="inlineStr">
        <is>
          <t>技术答疑</t>
        </is>
      </c>
      <c r="H5" s="7" t="inlineStr">
        <is>
          <t>向同事确认基材与固化工艺对选型的影响</t>
        </is>
      </c>
      <c r="I5" s="7" t="inlineStr">
        <is>
          <t>我</t>
        </is>
      </c>
      <c r="J5" s="29" t="n">
        <v>46310</v>
      </c>
      <c r="K5" s="7" t="inlineStr">
        <is>
          <t>本人计划</t>
        </is>
      </c>
      <c r="L5" s="7" t="inlineStr">
        <is>
          <t>待办</t>
        </is>
      </c>
      <c r="M5" s="29" t="str"/>
      <c r="N5" s="7" t="str"/>
      <c r="O5" s="7" t="inlineStr">
        <is>
          <t>V示例001</t>
        </is>
      </c>
      <c r="P5" s="7" t="inlineStr">
        <is>
          <t>示例，不参与计算</t>
        </is>
      </c>
      <c r="Q5" s="7" t="inlineStr">
        <is>
          <t>示例，不参与计算</t>
        </is>
      </c>
    </row>
    <row r="6" ht="34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0" t="n"/>
      <c r="K6" s="3" t="n"/>
      <c r="L6" s="3" t="n"/>
      <c r="M6" s="30" t="n"/>
      <c r="N6" s="3" t="n"/>
      <c r="O6" s="3" t="n"/>
      <c r="P6" s="3" t="n"/>
      <c r="Q6" s="3" t="n"/>
    </row>
    <row r="7" ht="42" customHeight="1">
      <c r="A7" s="9" t="inlineStr">
        <is>
          <t>任务编号</t>
        </is>
      </c>
      <c r="B7" s="9" t="inlineStr">
        <is>
          <t>公司编号</t>
        </is>
      </c>
      <c r="C7" s="9" t="inlineStr">
        <is>
          <t>公司名称〔自动〕</t>
        </is>
      </c>
      <c r="D7" s="9" t="inlineStr">
        <is>
          <t>联系人编号</t>
        </is>
      </c>
      <c r="E7" s="9" t="inlineStr">
        <is>
          <t>项目编号</t>
        </is>
      </c>
      <c r="F7" s="9" t="inlineStr">
        <is>
          <t>样品编号</t>
        </is>
      </c>
      <c r="G7" s="9" t="inlineStr">
        <is>
          <t>事项类型</t>
        </is>
      </c>
      <c r="H7" s="9" t="inlineStr">
        <is>
          <t>下一步具体动作</t>
        </is>
      </c>
      <c r="I7" s="9" t="inlineStr">
        <is>
          <t>负责人</t>
        </is>
      </c>
      <c r="J7" s="31" t="inlineStr">
        <is>
          <t>计划日期</t>
        </is>
      </c>
      <c r="K7" s="9" t="inlineStr">
        <is>
          <t>日期依据</t>
        </is>
      </c>
      <c r="L7" s="9" t="inlineStr">
        <is>
          <t>状态</t>
        </is>
      </c>
      <c r="M7" s="31" t="inlineStr">
        <is>
          <t>完成日期</t>
        </is>
      </c>
      <c r="N7" s="9" t="inlineStr">
        <is>
          <t>完成证据或反馈</t>
        </is>
      </c>
      <c r="O7" s="9" t="inlineStr">
        <is>
          <t>来源沟通编号</t>
        </is>
      </c>
      <c r="P7" s="9" t="inlineStr">
        <is>
          <t>提醒〔自动〕</t>
        </is>
      </c>
      <c r="Q7" s="9" t="inlineStr">
        <is>
          <t>关联检查〔自动〕</t>
        </is>
      </c>
    </row>
    <row r="8" ht="34" customHeight="1">
      <c r="A8" s="32" t="n"/>
      <c r="B8" s="32" t="n"/>
      <c r="C8" s="16">
        <f>IF(B8="","",IF(COUNTIF('公司'!$A$8:$A$207,B8)&lt;&gt;1,"编号缺失或重复",INDEX('公司'!$B$8:$B$207,MATCH(B8,'公司'!$A$8:$A$207,0))))</f>
        <v/>
      </c>
      <c r="D8" s="32" t="n"/>
      <c r="E8" s="32" t="n"/>
      <c r="F8" s="32" t="n"/>
      <c r="G8" s="10" t="n"/>
      <c r="H8" s="10" t="n"/>
      <c r="I8" s="10" t="n"/>
      <c r="J8" s="33" t="n"/>
      <c r="K8" s="10" t="n"/>
      <c r="L8" s="10" t="n"/>
      <c r="M8" s="33" t="n"/>
      <c r="N8" s="10" t="n"/>
      <c r="O8" s="32" t="n"/>
      <c r="P8" s="16">
        <f>IF(A8="","",IF(L8="已取消","已取消",IF(L8="已完成",IF(OR(M8="",N8=""),"补完成证据","已完成"),IF(J8="","待定日期",IF(NOT(ISNUMBER(J8)),"检查日期",IF(J8&lt;'使用说明'!$B$5,"已逾期",IF(J8='使用说明'!$B$5,"今日跟进","待跟进")))))))</f>
        <v/>
      </c>
      <c r="Q8" s="16">
        <f>IF(A8="","",IF(OR(COUNTIF($A$8:$A$207,A8)&lt;&gt;1,COUNTIF('公司'!$A$8:$A$207,B8)&lt;&gt;1,AND(D8&lt;&gt;"",COUNTIF('联系人'!$A$8:$A$207,D8)&lt;&gt;1),AND(E8&lt;&gt;"",COUNTIF('用胶项目'!$A$8:$A$207,E8)&lt;&gt;1),AND(F8&lt;&gt;"",COUNTIF('样品测试'!$A$8:$A$207,F8)&lt;&gt;1),AND(O8&lt;&gt;"",COUNTIF('沟通记录'!$A$8:$A$207,O8)&lt;&gt;1)),"检查编号或关联","正常"))</f>
        <v/>
      </c>
    </row>
    <row r="9" ht="34" customHeight="1">
      <c r="A9" s="32" t="n"/>
      <c r="B9" s="32" t="n"/>
      <c r="C9" s="16">
        <f>IF(B9="","",IF(COUNTIF('公司'!$A$8:$A$207,B9)&lt;&gt;1,"编号缺失或重复",INDEX('公司'!$B$8:$B$207,MATCH(B9,'公司'!$A$8:$A$207,0))))</f>
        <v/>
      </c>
      <c r="D9" s="32" t="n"/>
      <c r="E9" s="32" t="n"/>
      <c r="F9" s="32" t="n"/>
      <c r="G9" s="10" t="n"/>
      <c r="H9" s="10" t="n"/>
      <c r="I9" s="10" t="n"/>
      <c r="J9" s="33" t="n"/>
      <c r="K9" s="10" t="n"/>
      <c r="L9" s="10" t="n"/>
      <c r="M9" s="33" t="n"/>
      <c r="N9" s="10" t="n"/>
      <c r="O9" s="32" t="n"/>
      <c r="P9" s="16">
        <f>IF(A9="","",IF(L9="已取消","已取消",IF(L9="已完成",IF(OR(M9="",N9=""),"补完成证据","已完成"),IF(J9="","待定日期",IF(NOT(ISNUMBER(J9)),"检查日期",IF(J9&lt;'使用说明'!$B$5,"已逾期",IF(J9='使用说明'!$B$5,"今日跟进","待跟进")))))))</f>
        <v/>
      </c>
      <c r="Q9" s="16">
        <f>IF(A9="","",IF(OR(COUNTIF($A$8:$A$207,A9)&lt;&gt;1,COUNTIF('公司'!$A$8:$A$207,B9)&lt;&gt;1,AND(D9&lt;&gt;"",COUNTIF('联系人'!$A$8:$A$207,D9)&lt;&gt;1),AND(E9&lt;&gt;"",COUNTIF('用胶项目'!$A$8:$A$207,E9)&lt;&gt;1),AND(F9&lt;&gt;"",COUNTIF('样品测试'!$A$8:$A$207,F9)&lt;&gt;1),AND(O9&lt;&gt;"",COUNTIF('沟通记录'!$A$8:$A$207,O9)&lt;&gt;1)),"检查编号或关联","正常"))</f>
        <v/>
      </c>
    </row>
    <row r="10" ht="34" customHeight="1">
      <c r="A10" s="32" t="n"/>
      <c r="B10" s="32" t="n"/>
      <c r="C10" s="16">
        <f>IF(B10="","",IF(COUNTIF('公司'!$A$8:$A$207,B10)&lt;&gt;1,"编号缺失或重复",INDEX('公司'!$B$8:$B$207,MATCH(B10,'公司'!$A$8:$A$207,0))))</f>
        <v/>
      </c>
      <c r="D10" s="32" t="n"/>
      <c r="E10" s="32" t="n"/>
      <c r="F10" s="32" t="n"/>
      <c r="G10" s="10" t="n"/>
      <c r="H10" s="10" t="n"/>
      <c r="I10" s="10" t="n"/>
      <c r="J10" s="33" t="n"/>
      <c r="K10" s="10" t="n"/>
      <c r="L10" s="10" t="n"/>
      <c r="M10" s="33" t="n"/>
      <c r="N10" s="10" t="n"/>
      <c r="O10" s="32" t="n"/>
      <c r="P10" s="16">
        <f>IF(A10="","",IF(L10="已取消","已取消",IF(L10="已完成",IF(OR(M10="",N10=""),"补完成证据","已完成"),IF(J10="","待定日期",IF(NOT(ISNUMBER(J10)),"检查日期",IF(J10&lt;'使用说明'!$B$5,"已逾期",IF(J10='使用说明'!$B$5,"今日跟进","待跟进")))))))</f>
        <v/>
      </c>
      <c r="Q10" s="16">
        <f>IF(A10="","",IF(OR(COUNTIF($A$8:$A$207,A10)&lt;&gt;1,COUNTIF('公司'!$A$8:$A$207,B10)&lt;&gt;1,AND(D10&lt;&gt;"",COUNTIF('联系人'!$A$8:$A$207,D10)&lt;&gt;1),AND(E10&lt;&gt;"",COUNTIF('用胶项目'!$A$8:$A$207,E10)&lt;&gt;1),AND(F10&lt;&gt;"",COUNTIF('样品测试'!$A$8:$A$207,F10)&lt;&gt;1),AND(O10&lt;&gt;"",COUNTIF('沟通记录'!$A$8:$A$207,O10)&lt;&gt;1)),"检查编号或关联","正常"))</f>
        <v/>
      </c>
    </row>
    <row r="11" ht="34" customHeight="1">
      <c r="A11" s="32" t="n"/>
      <c r="B11" s="32" t="n"/>
      <c r="C11" s="16">
        <f>IF(B11="","",IF(COUNTIF('公司'!$A$8:$A$207,B11)&lt;&gt;1,"编号缺失或重复",INDEX('公司'!$B$8:$B$207,MATCH(B11,'公司'!$A$8:$A$207,0))))</f>
        <v/>
      </c>
      <c r="D11" s="32" t="n"/>
      <c r="E11" s="32" t="n"/>
      <c r="F11" s="32" t="n"/>
      <c r="G11" s="10" t="n"/>
      <c r="H11" s="10" t="n"/>
      <c r="I11" s="10" t="n"/>
      <c r="J11" s="33" t="n"/>
      <c r="K11" s="10" t="n"/>
      <c r="L11" s="10" t="n"/>
      <c r="M11" s="33" t="n"/>
      <c r="N11" s="10" t="n"/>
      <c r="O11" s="32" t="n"/>
      <c r="P11" s="16">
        <f>IF(A11="","",IF(L11="已取消","已取消",IF(L11="已完成",IF(OR(M11="",N11=""),"补完成证据","已完成"),IF(J11="","待定日期",IF(NOT(ISNUMBER(J11)),"检查日期",IF(J11&lt;'使用说明'!$B$5,"已逾期",IF(J11='使用说明'!$B$5,"今日跟进","待跟进")))))))</f>
        <v/>
      </c>
      <c r="Q11" s="16">
        <f>IF(A11="","",IF(OR(COUNTIF($A$8:$A$207,A11)&lt;&gt;1,COUNTIF('公司'!$A$8:$A$207,B11)&lt;&gt;1,AND(D11&lt;&gt;"",COUNTIF('联系人'!$A$8:$A$207,D11)&lt;&gt;1),AND(E11&lt;&gt;"",COUNTIF('用胶项目'!$A$8:$A$207,E11)&lt;&gt;1),AND(F11&lt;&gt;"",COUNTIF('样品测试'!$A$8:$A$207,F11)&lt;&gt;1),AND(O11&lt;&gt;"",COUNTIF('沟通记录'!$A$8:$A$207,O11)&lt;&gt;1)),"检查编号或关联","正常"))</f>
        <v/>
      </c>
    </row>
    <row r="12" ht="34" customHeight="1">
      <c r="A12" s="32" t="n"/>
      <c r="B12" s="32" t="n"/>
      <c r="C12" s="16">
        <f>IF(B12="","",IF(COUNTIF('公司'!$A$8:$A$207,B12)&lt;&gt;1,"编号缺失或重复",INDEX('公司'!$B$8:$B$207,MATCH(B12,'公司'!$A$8:$A$207,0))))</f>
        <v/>
      </c>
      <c r="D12" s="32" t="n"/>
      <c r="E12" s="32" t="n"/>
      <c r="F12" s="32" t="n"/>
      <c r="G12" s="10" t="n"/>
      <c r="H12" s="10" t="n"/>
      <c r="I12" s="10" t="n"/>
      <c r="J12" s="33" t="n"/>
      <c r="K12" s="10" t="n"/>
      <c r="L12" s="10" t="n"/>
      <c r="M12" s="33" t="n"/>
      <c r="N12" s="10" t="n"/>
      <c r="O12" s="32" t="n"/>
      <c r="P12" s="16">
        <f>IF(A12="","",IF(L12="已取消","已取消",IF(L12="已完成",IF(OR(M12="",N12=""),"补完成证据","已完成"),IF(J12="","待定日期",IF(NOT(ISNUMBER(J12)),"检查日期",IF(J12&lt;'使用说明'!$B$5,"已逾期",IF(J12='使用说明'!$B$5,"今日跟进","待跟进")))))))</f>
        <v/>
      </c>
      <c r="Q12" s="16">
        <f>IF(A12="","",IF(OR(COUNTIF($A$8:$A$207,A12)&lt;&gt;1,COUNTIF('公司'!$A$8:$A$207,B12)&lt;&gt;1,AND(D12&lt;&gt;"",COUNTIF('联系人'!$A$8:$A$207,D12)&lt;&gt;1),AND(E12&lt;&gt;"",COUNTIF('用胶项目'!$A$8:$A$207,E12)&lt;&gt;1),AND(F12&lt;&gt;"",COUNTIF('样品测试'!$A$8:$A$207,F12)&lt;&gt;1),AND(O12&lt;&gt;"",COUNTIF('沟通记录'!$A$8:$A$207,O12)&lt;&gt;1)),"检查编号或关联","正常"))</f>
        <v/>
      </c>
    </row>
    <row r="13" ht="34" customHeight="1">
      <c r="A13" s="32" t="n"/>
      <c r="B13" s="32" t="n"/>
      <c r="C13" s="16">
        <f>IF(B13="","",IF(COUNTIF('公司'!$A$8:$A$207,B13)&lt;&gt;1,"编号缺失或重复",INDEX('公司'!$B$8:$B$207,MATCH(B13,'公司'!$A$8:$A$207,0))))</f>
        <v/>
      </c>
      <c r="D13" s="32" t="n"/>
      <c r="E13" s="32" t="n"/>
      <c r="F13" s="32" t="n"/>
      <c r="G13" s="10" t="n"/>
      <c r="H13" s="10" t="n"/>
      <c r="I13" s="10" t="n"/>
      <c r="J13" s="33" t="n"/>
      <c r="K13" s="10" t="n"/>
      <c r="L13" s="10" t="n"/>
      <c r="M13" s="33" t="n"/>
      <c r="N13" s="10" t="n"/>
      <c r="O13" s="32" t="n"/>
      <c r="P13" s="16">
        <f>IF(A13="","",IF(L13="已取消","已取消",IF(L13="已完成",IF(OR(M13="",N13=""),"补完成证据","已完成"),IF(J13="","待定日期",IF(NOT(ISNUMBER(J13)),"检查日期",IF(J13&lt;'使用说明'!$B$5,"已逾期",IF(J13='使用说明'!$B$5,"今日跟进","待跟进")))))))</f>
        <v/>
      </c>
      <c r="Q13" s="16">
        <f>IF(A13="","",IF(OR(COUNTIF($A$8:$A$207,A13)&lt;&gt;1,COUNTIF('公司'!$A$8:$A$207,B13)&lt;&gt;1,AND(D13&lt;&gt;"",COUNTIF('联系人'!$A$8:$A$207,D13)&lt;&gt;1),AND(E13&lt;&gt;"",COUNTIF('用胶项目'!$A$8:$A$207,E13)&lt;&gt;1),AND(F13&lt;&gt;"",COUNTIF('样品测试'!$A$8:$A$207,F13)&lt;&gt;1),AND(O13&lt;&gt;"",COUNTIF('沟通记录'!$A$8:$A$207,O13)&lt;&gt;1)),"检查编号或关联","正常"))</f>
        <v/>
      </c>
    </row>
    <row r="14" ht="34" customHeight="1">
      <c r="A14" s="32" t="n"/>
      <c r="B14" s="32" t="n"/>
      <c r="C14" s="16">
        <f>IF(B14="","",IF(COUNTIF('公司'!$A$8:$A$207,B14)&lt;&gt;1,"编号缺失或重复",INDEX('公司'!$B$8:$B$207,MATCH(B14,'公司'!$A$8:$A$207,0))))</f>
        <v/>
      </c>
      <c r="D14" s="32" t="n"/>
      <c r="E14" s="32" t="n"/>
      <c r="F14" s="32" t="n"/>
      <c r="G14" s="10" t="n"/>
      <c r="H14" s="10" t="n"/>
      <c r="I14" s="10" t="n"/>
      <c r="J14" s="33" t="n"/>
      <c r="K14" s="10" t="n"/>
      <c r="L14" s="10" t="n"/>
      <c r="M14" s="33" t="n"/>
      <c r="N14" s="10" t="n"/>
      <c r="O14" s="32" t="n"/>
      <c r="P14" s="16">
        <f>IF(A14="","",IF(L14="已取消","已取消",IF(L14="已完成",IF(OR(M14="",N14=""),"补完成证据","已完成"),IF(J14="","待定日期",IF(NOT(ISNUMBER(J14)),"检查日期",IF(J14&lt;'使用说明'!$B$5,"已逾期",IF(J14='使用说明'!$B$5,"今日跟进","待跟进")))))))</f>
        <v/>
      </c>
      <c r="Q14" s="16">
        <f>IF(A14="","",IF(OR(COUNTIF($A$8:$A$207,A14)&lt;&gt;1,COUNTIF('公司'!$A$8:$A$207,B14)&lt;&gt;1,AND(D14&lt;&gt;"",COUNTIF('联系人'!$A$8:$A$207,D14)&lt;&gt;1),AND(E14&lt;&gt;"",COUNTIF('用胶项目'!$A$8:$A$207,E14)&lt;&gt;1),AND(F14&lt;&gt;"",COUNTIF('样品测试'!$A$8:$A$207,F14)&lt;&gt;1),AND(O14&lt;&gt;"",COUNTIF('沟通记录'!$A$8:$A$207,O14)&lt;&gt;1)),"检查编号或关联","正常"))</f>
        <v/>
      </c>
    </row>
    <row r="15" ht="34" customHeight="1">
      <c r="A15" s="32" t="n"/>
      <c r="B15" s="32" t="n"/>
      <c r="C15" s="16">
        <f>IF(B15="","",IF(COUNTIF('公司'!$A$8:$A$207,B15)&lt;&gt;1,"编号缺失或重复",INDEX('公司'!$B$8:$B$207,MATCH(B15,'公司'!$A$8:$A$207,0))))</f>
        <v/>
      </c>
      <c r="D15" s="32" t="n"/>
      <c r="E15" s="32" t="n"/>
      <c r="F15" s="32" t="n"/>
      <c r="G15" s="10" t="n"/>
      <c r="H15" s="10" t="n"/>
      <c r="I15" s="10" t="n"/>
      <c r="J15" s="33" t="n"/>
      <c r="K15" s="10" t="n"/>
      <c r="L15" s="10" t="n"/>
      <c r="M15" s="33" t="n"/>
      <c r="N15" s="10" t="n"/>
      <c r="O15" s="32" t="n"/>
      <c r="P15" s="16">
        <f>IF(A15="","",IF(L15="已取消","已取消",IF(L15="已完成",IF(OR(M15="",N15=""),"补完成证据","已完成"),IF(J15="","待定日期",IF(NOT(ISNUMBER(J15)),"检查日期",IF(J15&lt;'使用说明'!$B$5,"已逾期",IF(J15='使用说明'!$B$5,"今日跟进","待跟进")))))))</f>
        <v/>
      </c>
      <c r="Q15" s="16">
        <f>IF(A15="","",IF(OR(COUNTIF($A$8:$A$207,A15)&lt;&gt;1,COUNTIF('公司'!$A$8:$A$207,B15)&lt;&gt;1,AND(D15&lt;&gt;"",COUNTIF('联系人'!$A$8:$A$207,D15)&lt;&gt;1),AND(E15&lt;&gt;"",COUNTIF('用胶项目'!$A$8:$A$207,E15)&lt;&gt;1),AND(F15&lt;&gt;"",COUNTIF('样品测试'!$A$8:$A$207,F15)&lt;&gt;1),AND(O15&lt;&gt;"",COUNTIF('沟通记录'!$A$8:$A$207,O15)&lt;&gt;1)),"检查编号或关联","正常"))</f>
        <v/>
      </c>
    </row>
    <row r="16" ht="34" customHeight="1">
      <c r="A16" s="32" t="n"/>
      <c r="B16" s="32" t="n"/>
      <c r="C16" s="16">
        <f>IF(B16="","",IF(COUNTIF('公司'!$A$8:$A$207,B16)&lt;&gt;1,"编号缺失或重复",INDEX('公司'!$B$8:$B$207,MATCH(B16,'公司'!$A$8:$A$207,0))))</f>
        <v/>
      </c>
      <c r="D16" s="32" t="n"/>
      <c r="E16" s="32" t="n"/>
      <c r="F16" s="32" t="n"/>
      <c r="G16" s="10" t="n"/>
      <c r="H16" s="10" t="n"/>
      <c r="I16" s="10" t="n"/>
      <c r="J16" s="33" t="n"/>
      <c r="K16" s="10" t="n"/>
      <c r="L16" s="10" t="n"/>
      <c r="M16" s="33" t="n"/>
      <c r="N16" s="10" t="n"/>
      <c r="O16" s="32" t="n"/>
      <c r="P16" s="16">
        <f>IF(A16="","",IF(L16="已取消","已取消",IF(L16="已完成",IF(OR(M16="",N16=""),"补完成证据","已完成"),IF(J16="","待定日期",IF(NOT(ISNUMBER(J16)),"检查日期",IF(J16&lt;'使用说明'!$B$5,"已逾期",IF(J16='使用说明'!$B$5,"今日跟进","待跟进")))))))</f>
        <v/>
      </c>
      <c r="Q16" s="16">
        <f>IF(A16="","",IF(OR(COUNTIF($A$8:$A$207,A16)&lt;&gt;1,COUNTIF('公司'!$A$8:$A$207,B16)&lt;&gt;1,AND(D16&lt;&gt;"",COUNTIF('联系人'!$A$8:$A$207,D16)&lt;&gt;1),AND(E16&lt;&gt;"",COUNTIF('用胶项目'!$A$8:$A$207,E16)&lt;&gt;1),AND(F16&lt;&gt;"",COUNTIF('样品测试'!$A$8:$A$207,F16)&lt;&gt;1),AND(O16&lt;&gt;"",COUNTIF('沟通记录'!$A$8:$A$207,O16)&lt;&gt;1)),"检查编号或关联","正常"))</f>
        <v/>
      </c>
    </row>
    <row r="17" ht="34" customHeight="1">
      <c r="A17" s="32" t="n"/>
      <c r="B17" s="32" t="n"/>
      <c r="C17" s="16">
        <f>IF(B17="","",IF(COUNTIF('公司'!$A$8:$A$207,B17)&lt;&gt;1,"编号缺失或重复",INDEX('公司'!$B$8:$B$207,MATCH(B17,'公司'!$A$8:$A$207,0))))</f>
        <v/>
      </c>
      <c r="D17" s="32" t="n"/>
      <c r="E17" s="32" t="n"/>
      <c r="F17" s="32" t="n"/>
      <c r="G17" s="10" t="n"/>
      <c r="H17" s="10" t="n"/>
      <c r="I17" s="10" t="n"/>
      <c r="J17" s="33" t="n"/>
      <c r="K17" s="10" t="n"/>
      <c r="L17" s="10" t="n"/>
      <c r="M17" s="33" t="n"/>
      <c r="N17" s="10" t="n"/>
      <c r="O17" s="32" t="n"/>
      <c r="P17" s="16">
        <f>IF(A17="","",IF(L17="已取消","已取消",IF(L17="已完成",IF(OR(M17="",N17=""),"补完成证据","已完成"),IF(J17="","待定日期",IF(NOT(ISNUMBER(J17)),"检查日期",IF(J17&lt;'使用说明'!$B$5,"已逾期",IF(J17='使用说明'!$B$5,"今日跟进","待跟进")))))))</f>
        <v/>
      </c>
      <c r="Q17" s="16">
        <f>IF(A17="","",IF(OR(COUNTIF($A$8:$A$207,A17)&lt;&gt;1,COUNTIF('公司'!$A$8:$A$207,B17)&lt;&gt;1,AND(D17&lt;&gt;"",COUNTIF('联系人'!$A$8:$A$207,D17)&lt;&gt;1),AND(E17&lt;&gt;"",COUNTIF('用胶项目'!$A$8:$A$207,E17)&lt;&gt;1),AND(F17&lt;&gt;"",COUNTIF('样品测试'!$A$8:$A$207,F17)&lt;&gt;1),AND(O17&lt;&gt;"",COUNTIF('沟通记录'!$A$8:$A$207,O17)&lt;&gt;1)),"检查编号或关联","正常"))</f>
        <v/>
      </c>
    </row>
    <row r="18" ht="34" customHeight="1">
      <c r="A18" s="32" t="n"/>
      <c r="B18" s="32" t="n"/>
      <c r="C18" s="16">
        <f>IF(B18="","",IF(COUNTIF('公司'!$A$8:$A$207,B18)&lt;&gt;1,"编号缺失或重复",INDEX('公司'!$B$8:$B$207,MATCH(B18,'公司'!$A$8:$A$207,0))))</f>
        <v/>
      </c>
      <c r="D18" s="32" t="n"/>
      <c r="E18" s="32" t="n"/>
      <c r="F18" s="32" t="n"/>
      <c r="G18" s="10" t="n"/>
      <c r="H18" s="10" t="n"/>
      <c r="I18" s="10" t="n"/>
      <c r="J18" s="33" t="n"/>
      <c r="K18" s="10" t="n"/>
      <c r="L18" s="10" t="n"/>
      <c r="M18" s="33" t="n"/>
      <c r="N18" s="10" t="n"/>
      <c r="O18" s="32" t="n"/>
      <c r="P18" s="16">
        <f>IF(A18="","",IF(L18="已取消","已取消",IF(L18="已完成",IF(OR(M18="",N18=""),"补完成证据","已完成"),IF(J18="","待定日期",IF(NOT(ISNUMBER(J18)),"检查日期",IF(J18&lt;'使用说明'!$B$5,"已逾期",IF(J18='使用说明'!$B$5,"今日跟进","待跟进")))))))</f>
        <v/>
      </c>
      <c r="Q18" s="16">
        <f>IF(A18="","",IF(OR(COUNTIF($A$8:$A$207,A18)&lt;&gt;1,COUNTIF('公司'!$A$8:$A$207,B18)&lt;&gt;1,AND(D18&lt;&gt;"",COUNTIF('联系人'!$A$8:$A$207,D18)&lt;&gt;1),AND(E18&lt;&gt;"",COUNTIF('用胶项目'!$A$8:$A$207,E18)&lt;&gt;1),AND(F18&lt;&gt;"",COUNTIF('样品测试'!$A$8:$A$207,F18)&lt;&gt;1),AND(O18&lt;&gt;"",COUNTIF('沟通记录'!$A$8:$A$207,O18)&lt;&gt;1)),"检查编号或关联","正常"))</f>
        <v/>
      </c>
    </row>
    <row r="19" ht="34" customHeight="1">
      <c r="A19" s="32" t="n"/>
      <c r="B19" s="32" t="n"/>
      <c r="C19" s="16">
        <f>IF(B19="","",IF(COUNTIF('公司'!$A$8:$A$207,B19)&lt;&gt;1,"编号缺失或重复",INDEX('公司'!$B$8:$B$207,MATCH(B19,'公司'!$A$8:$A$207,0))))</f>
        <v/>
      </c>
      <c r="D19" s="32" t="n"/>
      <c r="E19" s="32" t="n"/>
      <c r="F19" s="32" t="n"/>
      <c r="G19" s="10" t="n"/>
      <c r="H19" s="10" t="n"/>
      <c r="I19" s="10" t="n"/>
      <c r="J19" s="33" t="n"/>
      <c r="K19" s="10" t="n"/>
      <c r="L19" s="10" t="n"/>
      <c r="M19" s="33" t="n"/>
      <c r="N19" s="10" t="n"/>
      <c r="O19" s="32" t="n"/>
      <c r="P19" s="16">
        <f>IF(A19="","",IF(L19="已取消","已取消",IF(L19="已完成",IF(OR(M19="",N19=""),"补完成证据","已完成"),IF(J19="","待定日期",IF(NOT(ISNUMBER(J19)),"检查日期",IF(J19&lt;'使用说明'!$B$5,"已逾期",IF(J19='使用说明'!$B$5,"今日跟进","待跟进")))))))</f>
        <v/>
      </c>
      <c r="Q19" s="16">
        <f>IF(A19="","",IF(OR(COUNTIF($A$8:$A$207,A19)&lt;&gt;1,COUNTIF('公司'!$A$8:$A$207,B19)&lt;&gt;1,AND(D19&lt;&gt;"",COUNTIF('联系人'!$A$8:$A$207,D19)&lt;&gt;1),AND(E19&lt;&gt;"",COUNTIF('用胶项目'!$A$8:$A$207,E19)&lt;&gt;1),AND(F19&lt;&gt;"",COUNTIF('样品测试'!$A$8:$A$207,F19)&lt;&gt;1),AND(O19&lt;&gt;"",COUNTIF('沟通记录'!$A$8:$A$207,O19)&lt;&gt;1)),"检查编号或关联","正常"))</f>
        <v/>
      </c>
    </row>
    <row r="20" ht="34" customHeight="1">
      <c r="A20" s="32" t="n"/>
      <c r="B20" s="32" t="n"/>
      <c r="C20" s="16">
        <f>IF(B20="","",IF(COUNTIF('公司'!$A$8:$A$207,B20)&lt;&gt;1,"编号缺失或重复",INDEX('公司'!$B$8:$B$207,MATCH(B20,'公司'!$A$8:$A$207,0))))</f>
        <v/>
      </c>
      <c r="D20" s="32" t="n"/>
      <c r="E20" s="32" t="n"/>
      <c r="F20" s="32" t="n"/>
      <c r="G20" s="10" t="n"/>
      <c r="H20" s="10" t="n"/>
      <c r="I20" s="10" t="n"/>
      <c r="J20" s="33" t="n"/>
      <c r="K20" s="10" t="n"/>
      <c r="L20" s="10" t="n"/>
      <c r="M20" s="33" t="n"/>
      <c r="N20" s="10" t="n"/>
      <c r="O20" s="32" t="n"/>
      <c r="P20" s="16">
        <f>IF(A20="","",IF(L20="已取消","已取消",IF(L20="已完成",IF(OR(M20="",N20=""),"补完成证据","已完成"),IF(J20="","待定日期",IF(NOT(ISNUMBER(J20)),"检查日期",IF(J20&lt;'使用说明'!$B$5,"已逾期",IF(J20='使用说明'!$B$5,"今日跟进","待跟进")))))))</f>
        <v/>
      </c>
      <c r="Q20" s="16">
        <f>IF(A20="","",IF(OR(COUNTIF($A$8:$A$207,A20)&lt;&gt;1,COUNTIF('公司'!$A$8:$A$207,B20)&lt;&gt;1,AND(D20&lt;&gt;"",COUNTIF('联系人'!$A$8:$A$207,D20)&lt;&gt;1),AND(E20&lt;&gt;"",COUNTIF('用胶项目'!$A$8:$A$207,E20)&lt;&gt;1),AND(F20&lt;&gt;"",COUNTIF('样品测试'!$A$8:$A$207,F20)&lt;&gt;1),AND(O20&lt;&gt;"",COUNTIF('沟通记录'!$A$8:$A$207,O20)&lt;&gt;1)),"检查编号或关联","正常"))</f>
        <v/>
      </c>
    </row>
    <row r="21" ht="34" customHeight="1">
      <c r="A21" s="32" t="n"/>
      <c r="B21" s="32" t="n"/>
      <c r="C21" s="16">
        <f>IF(B21="","",IF(COUNTIF('公司'!$A$8:$A$207,B21)&lt;&gt;1,"编号缺失或重复",INDEX('公司'!$B$8:$B$207,MATCH(B21,'公司'!$A$8:$A$207,0))))</f>
        <v/>
      </c>
      <c r="D21" s="32" t="n"/>
      <c r="E21" s="32" t="n"/>
      <c r="F21" s="32" t="n"/>
      <c r="G21" s="10" t="n"/>
      <c r="H21" s="10" t="n"/>
      <c r="I21" s="10" t="n"/>
      <c r="J21" s="33" t="n"/>
      <c r="K21" s="10" t="n"/>
      <c r="L21" s="10" t="n"/>
      <c r="M21" s="33" t="n"/>
      <c r="N21" s="10" t="n"/>
      <c r="O21" s="32" t="n"/>
      <c r="P21" s="16">
        <f>IF(A21="","",IF(L21="已取消","已取消",IF(L21="已完成",IF(OR(M21="",N21=""),"补完成证据","已完成"),IF(J21="","待定日期",IF(NOT(ISNUMBER(J21)),"检查日期",IF(J21&lt;'使用说明'!$B$5,"已逾期",IF(J21='使用说明'!$B$5,"今日跟进","待跟进")))))))</f>
        <v/>
      </c>
      <c r="Q21" s="16">
        <f>IF(A21="","",IF(OR(COUNTIF($A$8:$A$207,A21)&lt;&gt;1,COUNTIF('公司'!$A$8:$A$207,B21)&lt;&gt;1,AND(D21&lt;&gt;"",COUNTIF('联系人'!$A$8:$A$207,D21)&lt;&gt;1),AND(E21&lt;&gt;"",COUNTIF('用胶项目'!$A$8:$A$207,E21)&lt;&gt;1),AND(F21&lt;&gt;"",COUNTIF('样品测试'!$A$8:$A$207,F21)&lt;&gt;1),AND(O21&lt;&gt;"",COUNTIF('沟通记录'!$A$8:$A$207,O21)&lt;&gt;1)),"检查编号或关联","正常"))</f>
        <v/>
      </c>
    </row>
    <row r="22" ht="34" customHeight="1">
      <c r="A22" s="32" t="n"/>
      <c r="B22" s="32" t="n"/>
      <c r="C22" s="16">
        <f>IF(B22="","",IF(COUNTIF('公司'!$A$8:$A$207,B22)&lt;&gt;1,"编号缺失或重复",INDEX('公司'!$B$8:$B$207,MATCH(B22,'公司'!$A$8:$A$207,0))))</f>
        <v/>
      </c>
      <c r="D22" s="32" t="n"/>
      <c r="E22" s="32" t="n"/>
      <c r="F22" s="32" t="n"/>
      <c r="G22" s="10" t="n"/>
      <c r="H22" s="10" t="n"/>
      <c r="I22" s="10" t="n"/>
      <c r="J22" s="33" t="n"/>
      <c r="K22" s="10" t="n"/>
      <c r="L22" s="10" t="n"/>
      <c r="M22" s="33" t="n"/>
      <c r="N22" s="10" t="n"/>
      <c r="O22" s="32" t="n"/>
      <c r="P22" s="16">
        <f>IF(A22="","",IF(L22="已取消","已取消",IF(L22="已完成",IF(OR(M22="",N22=""),"补完成证据","已完成"),IF(J22="","待定日期",IF(NOT(ISNUMBER(J22)),"检查日期",IF(J22&lt;'使用说明'!$B$5,"已逾期",IF(J22='使用说明'!$B$5,"今日跟进","待跟进")))))))</f>
        <v/>
      </c>
      <c r="Q22" s="16">
        <f>IF(A22="","",IF(OR(COUNTIF($A$8:$A$207,A22)&lt;&gt;1,COUNTIF('公司'!$A$8:$A$207,B22)&lt;&gt;1,AND(D22&lt;&gt;"",COUNTIF('联系人'!$A$8:$A$207,D22)&lt;&gt;1),AND(E22&lt;&gt;"",COUNTIF('用胶项目'!$A$8:$A$207,E22)&lt;&gt;1),AND(F22&lt;&gt;"",COUNTIF('样品测试'!$A$8:$A$207,F22)&lt;&gt;1),AND(O22&lt;&gt;"",COUNTIF('沟通记录'!$A$8:$A$207,O22)&lt;&gt;1)),"检查编号或关联","正常"))</f>
        <v/>
      </c>
    </row>
    <row r="23" ht="34" customHeight="1">
      <c r="A23" s="32" t="n"/>
      <c r="B23" s="32" t="n"/>
      <c r="C23" s="16">
        <f>IF(B23="","",IF(COUNTIF('公司'!$A$8:$A$207,B23)&lt;&gt;1,"编号缺失或重复",INDEX('公司'!$B$8:$B$207,MATCH(B23,'公司'!$A$8:$A$207,0))))</f>
        <v/>
      </c>
      <c r="D23" s="32" t="n"/>
      <c r="E23" s="32" t="n"/>
      <c r="F23" s="32" t="n"/>
      <c r="G23" s="10" t="n"/>
      <c r="H23" s="10" t="n"/>
      <c r="I23" s="10" t="n"/>
      <c r="J23" s="33" t="n"/>
      <c r="K23" s="10" t="n"/>
      <c r="L23" s="10" t="n"/>
      <c r="M23" s="33" t="n"/>
      <c r="N23" s="10" t="n"/>
      <c r="O23" s="32" t="n"/>
      <c r="P23" s="16">
        <f>IF(A23="","",IF(L23="已取消","已取消",IF(L23="已完成",IF(OR(M23="",N23=""),"补完成证据","已完成"),IF(J23="","待定日期",IF(NOT(ISNUMBER(J23)),"检查日期",IF(J23&lt;'使用说明'!$B$5,"已逾期",IF(J23='使用说明'!$B$5,"今日跟进","待跟进")))))))</f>
        <v/>
      </c>
      <c r="Q23" s="16">
        <f>IF(A23="","",IF(OR(COUNTIF($A$8:$A$207,A23)&lt;&gt;1,COUNTIF('公司'!$A$8:$A$207,B23)&lt;&gt;1,AND(D23&lt;&gt;"",COUNTIF('联系人'!$A$8:$A$207,D23)&lt;&gt;1),AND(E23&lt;&gt;"",COUNTIF('用胶项目'!$A$8:$A$207,E23)&lt;&gt;1),AND(F23&lt;&gt;"",COUNTIF('样品测试'!$A$8:$A$207,F23)&lt;&gt;1),AND(O23&lt;&gt;"",COUNTIF('沟通记录'!$A$8:$A$207,O23)&lt;&gt;1)),"检查编号或关联","正常"))</f>
        <v/>
      </c>
    </row>
    <row r="24" ht="34" customHeight="1">
      <c r="A24" s="32" t="n"/>
      <c r="B24" s="32" t="n"/>
      <c r="C24" s="16">
        <f>IF(B24="","",IF(COUNTIF('公司'!$A$8:$A$207,B24)&lt;&gt;1,"编号缺失或重复",INDEX('公司'!$B$8:$B$207,MATCH(B24,'公司'!$A$8:$A$207,0))))</f>
        <v/>
      </c>
      <c r="D24" s="32" t="n"/>
      <c r="E24" s="32" t="n"/>
      <c r="F24" s="32" t="n"/>
      <c r="G24" s="10" t="n"/>
      <c r="H24" s="10" t="n"/>
      <c r="I24" s="10" t="n"/>
      <c r="J24" s="33" t="n"/>
      <c r="K24" s="10" t="n"/>
      <c r="L24" s="10" t="n"/>
      <c r="M24" s="33" t="n"/>
      <c r="N24" s="10" t="n"/>
      <c r="O24" s="32" t="n"/>
      <c r="P24" s="16">
        <f>IF(A24="","",IF(L24="已取消","已取消",IF(L24="已完成",IF(OR(M24="",N24=""),"补完成证据","已完成"),IF(J24="","待定日期",IF(NOT(ISNUMBER(J24)),"检查日期",IF(J24&lt;'使用说明'!$B$5,"已逾期",IF(J24='使用说明'!$B$5,"今日跟进","待跟进")))))))</f>
        <v/>
      </c>
      <c r="Q24" s="16">
        <f>IF(A24="","",IF(OR(COUNTIF($A$8:$A$207,A24)&lt;&gt;1,COUNTIF('公司'!$A$8:$A$207,B24)&lt;&gt;1,AND(D24&lt;&gt;"",COUNTIF('联系人'!$A$8:$A$207,D24)&lt;&gt;1),AND(E24&lt;&gt;"",COUNTIF('用胶项目'!$A$8:$A$207,E24)&lt;&gt;1),AND(F24&lt;&gt;"",COUNTIF('样品测试'!$A$8:$A$207,F24)&lt;&gt;1),AND(O24&lt;&gt;"",COUNTIF('沟通记录'!$A$8:$A$207,O24)&lt;&gt;1)),"检查编号或关联","正常"))</f>
        <v/>
      </c>
    </row>
    <row r="25" ht="34" customHeight="1">
      <c r="A25" s="32" t="n"/>
      <c r="B25" s="32" t="n"/>
      <c r="C25" s="16">
        <f>IF(B25="","",IF(COUNTIF('公司'!$A$8:$A$207,B25)&lt;&gt;1,"编号缺失或重复",INDEX('公司'!$B$8:$B$207,MATCH(B25,'公司'!$A$8:$A$207,0))))</f>
        <v/>
      </c>
      <c r="D25" s="32" t="n"/>
      <c r="E25" s="32" t="n"/>
      <c r="F25" s="32" t="n"/>
      <c r="G25" s="10" t="n"/>
      <c r="H25" s="10" t="n"/>
      <c r="I25" s="10" t="n"/>
      <c r="J25" s="33" t="n"/>
      <c r="K25" s="10" t="n"/>
      <c r="L25" s="10" t="n"/>
      <c r="M25" s="33" t="n"/>
      <c r="N25" s="10" t="n"/>
      <c r="O25" s="32" t="n"/>
      <c r="P25" s="16">
        <f>IF(A25="","",IF(L25="已取消","已取消",IF(L25="已完成",IF(OR(M25="",N25=""),"补完成证据","已完成"),IF(J25="","待定日期",IF(NOT(ISNUMBER(J25)),"检查日期",IF(J25&lt;'使用说明'!$B$5,"已逾期",IF(J25='使用说明'!$B$5,"今日跟进","待跟进")))))))</f>
        <v/>
      </c>
      <c r="Q25" s="16">
        <f>IF(A25="","",IF(OR(COUNTIF($A$8:$A$207,A25)&lt;&gt;1,COUNTIF('公司'!$A$8:$A$207,B25)&lt;&gt;1,AND(D25&lt;&gt;"",COUNTIF('联系人'!$A$8:$A$207,D25)&lt;&gt;1),AND(E25&lt;&gt;"",COUNTIF('用胶项目'!$A$8:$A$207,E25)&lt;&gt;1),AND(F25&lt;&gt;"",COUNTIF('样品测试'!$A$8:$A$207,F25)&lt;&gt;1),AND(O25&lt;&gt;"",COUNTIF('沟通记录'!$A$8:$A$207,O25)&lt;&gt;1)),"检查编号或关联","正常"))</f>
        <v/>
      </c>
    </row>
    <row r="26" ht="34" customHeight="1">
      <c r="A26" s="32" t="n"/>
      <c r="B26" s="32" t="n"/>
      <c r="C26" s="16">
        <f>IF(B26="","",IF(COUNTIF('公司'!$A$8:$A$207,B26)&lt;&gt;1,"编号缺失或重复",INDEX('公司'!$B$8:$B$207,MATCH(B26,'公司'!$A$8:$A$207,0))))</f>
        <v/>
      </c>
      <c r="D26" s="32" t="n"/>
      <c r="E26" s="32" t="n"/>
      <c r="F26" s="32" t="n"/>
      <c r="G26" s="10" t="n"/>
      <c r="H26" s="10" t="n"/>
      <c r="I26" s="10" t="n"/>
      <c r="J26" s="33" t="n"/>
      <c r="K26" s="10" t="n"/>
      <c r="L26" s="10" t="n"/>
      <c r="M26" s="33" t="n"/>
      <c r="N26" s="10" t="n"/>
      <c r="O26" s="32" t="n"/>
      <c r="P26" s="16">
        <f>IF(A26="","",IF(L26="已取消","已取消",IF(L26="已完成",IF(OR(M26="",N26=""),"补完成证据","已完成"),IF(J26="","待定日期",IF(NOT(ISNUMBER(J26)),"检查日期",IF(J26&lt;'使用说明'!$B$5,"已逾期",IF(J26='使用说明'!$B$5,"今日跟进","待跟进")))))))</f>
        <v/>
      </c>
      <c r="Q26" s="16">
        <f>IF(A26="","",IF(OR(COUNTIF($A$8:$A$207,A26)&lt;&gt;1,COUNTIF('公司'!$A$8:$A$207,B26)&lt;&gt;1,AND(D26&lt;&gt;"",COUNTIF('联系人'!$A$8:$A$207,D26)&lt;&gt;1),AND(E26&lt;&gt;"",COUNTIF('用胶项目'!$A$8:$A$207,E26)&lt;&gt;1),AND(F26&lt;&gt;"",COUNTIF('样品测试'!$A$8:$A$207,F26)&lt;&gt;1),AND(O26&lt;&gt;"",COUNTIF('沟通记录'!$A$8:$A$207,O26)&lt;&gt;1)),"检查编号或关联","正常"))</f>
        <v/>
      </c>
    </row>
    <row r="27" ht="34" customHeight="1">
      <c r="A27" s="32" t="n"/>
      <c r="B27" s="32" t="n"/>
      <c r="C27" s="16">
        <f>IF(B27="","",IF(COUNTIF('公司'!$A$8:$A$207,B27)&lt;&gt;1,"编号缺失或重复",INDEX('公司'!$B$8:$B$207,MATCH(B27,'公司'!$A$8:$A$207,0))))</f>
        <v/>
      </c>
      <c r="D27" s="32" t="n"/>
      <c r="E27" s="32" t="n"/>
      <c r="F27" s="32" t="n"/>
      <c r="G27" s="10" t="n"/>
      <c r="H27" s="10" t="n"/>
      <c r="I27" s="10" t="n"/>
      <c r="J27" s="33" t="n"/>
      <c r="K27" s="10" t="n"/>
      <c r="L27" s="10" t="n"/>
      <c r="M27" s="33" t="n"/>
      <c r="N27" s="10" t="n"/>
      <c r="O27" s="32" t="n"/>
      <c r="P27" s="16">
        <f>IF(A27="","",IF(L27="已取消","已取消",IF(L27="已完成",IF(OR(M27="",N27=""),"补完成证据","已完成"),IF(J27="","待定日期",IF(NOT(ISNUMBER(J27)),"检查日期",IF(J27&lt;'使用说明'!$B$5,"已逾期",IF(J27='使用说明'!$B$5,"今日跟进","待跟进")))))))</f>
        <v/>
      </c>
      <c r="Q27" s="16">
        <f>IF(A27="","",IF(OR(COUNTIF($A$8:$A$207,A27)&lt;&gt;1,COUNTIF('公司'!$A$8:$A$207,B27)&lt;&gt;1,AND(D27&lt;&gt;"",COUNTIF('联系人'!$A$8:$A$207,D27)&lt;&gt;1),AND(E27&lt;&gt;"",COUNTIF('用胶项目'!$A$8:$A$207,E27)&lt;&gt;1),AND(F27&lt;&gt;"",COUNTIF('样品测试'!$A$8:$A$207,F27)&lt;&gt;1),AND(O27&lt;&gt;"",COUNTIF('沟通记录'!$A$8:$A$207,O27)&lt;&gt;1)),"检查编号或关联","正常"))</f>
        <v/>
      </c>
    </row>
    <row r="28" ht="34" customHeight="1">
      <c r="A28" s="32" t="n"/>
      <c r="B28" s="32" t="n"/>
      <c r="C28" s="16">
        <f>IF(B28="","",IF(COUNTIF('公司'!$A$8:$A$207,B28)&lt;&gt;1,"编号缺失或重复",INDEX('公司'!$B$8:$B$207,MATCH(B28,'公司'!$A$8:$A$207,0))))</f>
        <v/>
      </c>
      <c r="D28" s="32" t="n"/>
      <c r="E28" s="32" t="n"/>
      <c r="F28" s="32" t="n"/>
      <c r="G28" s="10" t="n"/>
      <c r="H28" s="10" t="n"/>
      <c r="I28" s="10" t="n"/>
      <c r="J28" s="33" t="n"/>
      <c r="K28" s="10" t="n"/>
      <c r="L28" s="10" t="n"/>
      <c r="M28" s="33" t="n"/>
      <c r="N28" s="10" t="n"/>
      <c r="O28" s="32" t="n"/>
      <c r="P28" s="16">
        <f>IF(A28="","",IF(L28="已取消","已取消",IF(L28="已完成",IF(OR(M28="",N28=""),"补完成证据","已完成"),IF(J28="","待定日期",IF(NOT(ISNUMBER(J28)),"检查日期",IF(J28&lt;'使用说明'!$B$5,"已逾期",IF(J28='使用说明'!$B$5,"今日跟进","待跟进")))))))</f>
        <v/>
      </c>
      <c r="Q28" s="16">
        <f>IF(A28="","",IF(OR(COUNTIF($A$8:$A$207,A28)&lt;&gt;1,COUNTIF('公司'!$A$8:$A$207,B28)&lt;&gt;1,AND(D28&lt;&gt;"",COUNTIF('联系人'!$A$8:$A$207,D28)&lt;&gt;1),AND(E28&lt;&gt;"",COUNTIF('用胶项目'!$A$8:$A$207,E28)&lt;&gt;1),AND(F28&lt;&gt;"",COUNTIF('样品测试'!$A$8:$A$207,F28)&lt;&gt;1),AND(O28&lt;&gt;"",COUNTIF('沟通记录'!$A$8:$A$207,O28)&lt;&gt;1)),"检查编号或关联","正常"))</f>
        <v/>
      </c>
    </row>
    <row r="29" ht="34" customHeight="1">
      <c r="A29" s="32" t="n"/>
      <c r="B29" s="32" t="n"/>
      <c r="C29" s="16">
        <f>IF(B29="","",IF(COUNTIF('公司'!$A$8:$A$207,B29)&lt;&gt;1,"编号缺失或重复",INDEX('公司'!$B$8:$B$207,MATCH(B29,'公司'!$A$8:$A$207,0))))</f>
        <v/>
      </c>
      <c r="D29" s="32" t="n"/>
      <c r="E29" s="32" t="n"/>
      <c r="F29" s="32" t="n"/>
      <c r="G29" s="10" t="n"/>
      <c r="H29" s="10" t="n"/>
      <c r="I29" s="10" t="n"/>
      <c r="J29" s="33" t="n"/>
      <c r="K29" s="10" t="n"/>
      <c r="L29" s="10" t="n"/>
      <c r="M29" s="33" t="n"/>
      <c r="N29" s="10" t="n"/>
      <c r="O29" s="32" t="n"/>
      <c r="P29" s="16">
        <f>IF(A29="","",IF(L29="已取消","已取消",IF(L29="已完成",IF(OR(M29="",N29=""),"补完成证据","已完成"),IF(J29="","待定日期",IF(NOT(ISNUMBER(J29)),"检查日期",IF(J29&lt;'使用说明'!$B$5,"已逾期",IF(J29='使用说明'!$B$5,"今日跟进","待跟进")))))))</f>
        <v/>
      </c>
      <c r="Q29" s="16">
        <f>IF(A29="","",IF(OR(COUNTIF($A$8:$A$207,A29)&lt;&gt;1,COUNTIF('公司'!$A$8:$A$207,B29)&lt;&gt;1,AND(D29&lt;&gt;"",COUNTIF('联系人'!$A$8:$A$207,D29)&lt;&gt;1),AND(E29&lt;&gt;"",COUNTIF('用胶项目'!$A$8:$A$207,E29)&lt;&gt;1),AND(F29&lt;&gt;"",COUNTIF('样品测试'!$A$8:$A$207,F29)&lt;&gt;1),AND(O29&lt;&gt;"",COUNTIF('沟通记录'!$A$8:$A$207,O29)&lt;&gt;1)),"检查编号或关联","正常"))</f>
        <v/>
      </c>
    </row>
    <row r="30" ht="34" customHeight="1">
      <c r="A30" s="32" t="n"/>
      <c r="B30" s="32" t="n"/>
      <c r="C30" s="16">
        <f>IF(B30="","",IF(COUNTIF('公司'!$A$8:$A$207,B30)&lt;&gt;1,"编号缺失或重复",INDEX('公司'!$B$8:$B$207,MATCH(B30,'公司'!$A$8:$A$207,0))))</f>
        <v/>
      </c>
      <c r="D30" s="32" t="n"/>
      <c r="E30" s="32" t="n"/>
      <c r="F30" s="32" t="n"/>
      <c r="G30" s="10" t="n"/>
      <c r="H30" s="10" t="n"/>
      <c r="I30" s="10" t="n"/>
      <c r="J30" s="33" t="n"/>
      <c r="K30" s="10" t="n"/>
      <c r="L30" s="10" t="n"/>
      <c r="M30" s="33" t="n"/>
      <c r="N30" s="10" t="n"/>
      <c r="O30" s="32" t="n"/>
      <c r="P30" s="16">
        <f>IF(A30="","",IF(L30="已取消","已取消",IF(L30="已完成",IF(OR(M30="",N30=""),"补完成证据","已完成"),IF(J30="","待定日期",IF(NOT(ISNUMBER(J30)),"检查日期",IF(J30&lt;'使用说明'!$B$5,"已逾期",IF(J30='使用说明'!$B$5,"今日跟进","待跟进")))))))</f>
        <v/>
      </c>
      <c r="Q30" s="16">
        <f>IF(A30="","",IF(OR(COUNTIF($A$8:$A$207,A30)&lt;&gt;1,COUNTIF('公司'!$A$8:$A$207,B30)&lt;&gt;1,AND(D30&lt;&gt;"",COUNTIF('联系人'!$A$8:$A$207,D30)&lt;&gt;1),AND(E30&lt;&gt;"",COUNTIF('用胶项目'!$A$8:$A$207,E30)&lt;&gt;1),AND(F30&lt;&gt;"",COUNTIF('样品测试'!$A$8:$A$207,F30)&lt;&gt;1),AND(O30&lt;&gt;"",COUNTIF('沟通记录'!$A$8:$A$207,O30)&lt;&gt;1)),"检查编号或关联","正常"))</f>
        <v/>
      </c>
    </row>
    <row r="31" ht="34" customHeight="1">
      <c r="A31" s="32" t="n"/>
      <c r="B31" s="32" t="n"/>
      <c r="C31" s="16">
        <f>IF(B31="","",IF(COUNTIF('公司'!$A$8:$A$207,B31)&lt;&gt;1,"编号缺失或重复",INDEX('公司'!$B$8:$B$207,MATCH(B31,'公司'!$A$8:$A$207,0))))</f>
        <v/>
      </c>
      <c r="D31" s="32" t="n"/>
      <c r="E31" s="32" t="n"/>
      <c r="F31" s="32" t="n"/>
      <c r="G31" s="10" t="n"/>
      <c r="H31" s="10" t="n"/>
      <c r="I31" s="10" t="n"/>
      <c r="J31" s="33" t="n"/>
      <c r="K31" s="10" t="n"/>
      <c r="L31" s="10" t="n"/>
      <c r="M31" s="33" t="n"/>
      <c r="N31" s="10" t="n"/>
      <c r="O31" s="32" t="n"/>
      <c r="P31" s="16">
        <f>IF(A31="","",IF(L31="已取消","已取消",IF(L31="已完成",IF(OR(M31="",N31=""),"补完成证据","已完成"),IF(J31="","待定日期",IF(NOT(ISNUMBER(J31)),"检查日期",IF(J31&lt;'使用说明'!$B$5,"已逾期",IF(J31='使用说明'!$B$5,"今日跟进","待跟进")))))))</f>
        <v/>
      </c>
      <c r="Q31" s="16">
        <f>IF(A31="","",IF(OR(COUNTIF($A$8:$A$207,A31)&lt;&gt;1,COUNTIF('公司'!$A$8:$A$207,B31)&lt;&gt;1,AND(D31&lt;&gt;"",COUNTIF('联系人'!$A$8:$A$207,D31)&lt;&gt;1),AND(E31&lt;&gt;"",COUNTIF('用胶项目'!$A$8:$A$207,E31)&lt;&gt;1),AND(F31&lt;&gt;"",COUNTIF('样品测试'!$A$8:$A$207,F31)&lt;&gt;1),AND(O31&lt;&gt;"",COUNTIF('沟通记录'!$A$8:$A$207,O31)&lt;&gt;1)),"检查编号或关联","正常"))</f>
        <v/>
      </c>
    </row>
    <row r="32" ht="34" customHeight="1">
      <c r="A32" s="32" t="n"/>
      <c r="B32" s="32" t="n"/>
      <c r="C32" s="16">
        <f>IF(B32="","",IF(COUNTIF('公司'!$A$8:$A$207,B32)&lt;&gt;1,"编号缺失或重复",INDEX('公司'!$B$8:$B$207,MATCH(B32,'公司'!$A$8:$A$207,0))))</f>
        <v/>
      </c>
      <c r="D32" s="32" t="n"/>
      <c r="E32" s="32" t="n"/>
      <c r="F32" s="32" t="n"/>
      <c r="G32" s="10" t="n"/>
      <c r="H32" s="10" t="n"/>
      <c r="I32" s="10" t="n"/>
      <c r="J32" s="33" t="n"/>
      <c r="K32" s="10" t="n"/>
      <c r="L32" s="10" t="n"/>
      <c r="M32" s="33" t="n"/>
      <c r="N32" s="10" t="n"/>
      <c r="O32" s="32" t="n"/>
      <c r="P32" s="16">
        <f>IF(A32="","",IF(L32="已取消","已取消",IF(L32="已完成",IF(OR(M32="",N32=""),"补完成证据","已完成"),IF(J32="","待定日期",IF(NOT(ISNUMBER(J32)),"检查日期",IF(J32&lt;'使用说明'!$B$5,"已逾期",IF(J32='使用说明'!$B$5,"今日跟进","待跟进")))))))</f>
        <v/>
      </c>
      <c r="Q32" s="16">
        <f>IF(A32="","",IF(OR(COUNTIF($A$8:$A$207,A32)&lt;&gt;1,COUNTIF('公司'!$A$8:$A$207,B32)&lt;&gt;1,AND(D32&lt;&gt;"",COUNTIF('联系人'!$A$8:$A$207,D32)&lt;&gt;1),AND(E32&lt;&gt;"",COUNTIF('用胶项目'!$A$8:$A$207,E32)&lt;&gt;1),AND(F32&lt;&gt;"",COUNTIF('样品测试'!$A$8:$A$207,F32)&lt;&gt;1),AND(O32&lt;&gt;"",COUNTIF('沟通记录'!$A$8:$A$207,O32)&lt;&gt;1)),"检查编号或关联","正常"))</f>
        <v/>
      </c>
    </row>
    <row r="33" ht="34" customHeight="1">
      <c r="A33" s="32" t="n"/>
      <c r="B33" s="32" t="n"/>
      <c r="C33" s="16">
        <f>IF(B33="","",IF(COUNTIF('公司'!$A$8:$A$207,B33)&lt;&gt;1,"编号缺失或重复",INDEX('公司'!$B$8:$B$207,MATCH(B33,'公司'!$A$8:$A$207,0))))</f>
        <v/>
      </c>
      <c r="D33" s="32" t="n"/>
      <c r="E33" s="32" t="n"/>
      <c r="F33" s="32" t="n"/>
      <c r="G33" s="10" t="n"/>
      <c r="H33" s="10" t="n"/>
      <c r="I33" s="10" t="n"/>
      <c r="J33" s="33" t="n"/>
      <c r="K33" s="10" t="n"/>
      <c r="L33" s="10" t="n"/>
      <c r="M33" s="33" t="n"/>
      <c r="N33" s="10" t="n"/>
      <c r="O33" s="32" t="n"/>
      <c r="P33" s="16">
        <f>IF(A33="","",IF(L33="已取消","已取消",IF(L33="已完成",IF(OR(M33="",N33=""),"补完成证据","已完成"),IF(J33="","待定日期",IF(NOT(ISNUMBER(J33)),"检查日期",IF(J33&lt;'使用说明'!$B$5,"已逾期",IF(J33='使用说明'!$B$5,"今日跟进","待跟进")))))))</f>
        <v/>
      </c>
      <c r="Q33" s="16">
        <f>IF(A33="","",IF(OR(COUNTIF($A$8:$A$207,A33)&lt;&gt;1,COUNTIF('公司'!$A$8:$A$207,B33)&lt;&gt;1,AND(D33&lt;&gt;"",COUNTIF('联系人'!$A$8:$A$207,D33)&lt;&gt;1),AND(E33&lt;&gt;"",COUNTIF('用胶项目'!$A$8:$A$207,E33)&lt;&gt;1),AND(F33&lt;&gt;"",COUNTIF('样品测试'!$A$8:$A$207,F33)&lt;&gt;1),AND(O33&lt;&gt;"",COUNTIF('沟通记录'!$A$8:$A$207,O33)&lt;&gt;1)),"检查编号或关联","正常"))</f>
        <v/>
      </c>
    </row>
    <row r="34" ht="34" customHeight="1">
      <c r="A34" s="32" t="n"/>
      <c r="B34" s="32" t="n"/>
      <c r="C34" s="16">
        <f>IF(B34="","",IF(COUNTIF('公司'!$A$8:$A$207,B34)&lt;&gt;1,"编号缺失或重复",INDEX('公司'!$B$8:$B$207,MATCH(B34,'公司'!$A$8:$A$207,0))))</f>
        <v/>
      </c>
      <c r="D34" s="32" t="n"/>
      <c r="E34" s="32" t="n"/>
      <c r="F34" s="32" t="n"/>
      <c r="G34" s="10" t="n"/>
      <c r="H34" s="10" t="n"/>
      <c r="I34" s="10" t="n"/>
      <c r="J34" s="33" t="n"/>
      <c r="K34" s="10" t="n"/>
      <c r="L34" s="10" t="n"/>
      <c r="M34" s="33" t="n"/>
      <c r="N34" s="10" t="n"/>
      <c r="O34" s="32" t="n"/>
      <c r="P34" s="16">
        <f>IF(A34="","",IF(L34="已取消","已取消",IF(L34="已完成",IF(OR(M34="",N34=""),"补完成证据","已完成"),IF(J34="","待定日期",IF(NOT(ISNUMBER(J34)),"检查日期",IF(J34&lt;'使用说明'!$B$5,"已逾期",IF(J34='使用说明'!$B$5,"今日跟进","待跟进")))))))</f>
        <v/>
      </c>
      <c r="Q34" s="16">
        <f>IF(A34="","",IF(OR(COUNTIF($A$8:$A$207,A34)&lt;&gt;1,COUNTIF('公司'!$A$8:$A$207,B34)&lt;&gt;1,AND(D34&lt;&gt;"",COUNTIF('联系人'!$A$8:$A$207,D34)&lt;&gt;1),AND(E34&lt;&gt;"",COUNTIF('用胶项目'!$A$8:$A$207,E34)&lt;&gt;1),AND(F34&lt;&gt;"",COUNTIF('样品测试'!$A$8:$A$207,F34)&lt;&gt;1),AND(O34&lt;&gt;"",COUNTIF('沟通记录'!$A$8:$A$207,O34)&lt;&gt;1)),"检查编号或关联","正常"))</f>
        <v/>
      </c>
    </row>
    <row r="35" ht="34" customHeight="1">
      <c r="A35" s="32" t="n"/>
      <c r="B35" s="32" t="n"/>
      <c r="C35" s="16">
        <f>IF(B35="","",IF(COUNTIF('公司'!$A$8:$A$207,B35)&lt;&gt;1,"编号缺失或重复",INDEX('公司'!$B$8:$B$207,MATCH(B35,'公司'!$A$8:$A$207,0))))</f>
        <v/>
      </c>
      <c r="D35" s="32" t="n"/>
      <c r="E35" s="32" t="n"/>
      <c r="F35" s="32" t="n"/>
      <c r="G35" s="10" t="n"/>
      <c r="H35" s="10" t="n"/>
      <c r="I35" s="10" t="n"/>
      <c r="J35" s="33" t="n"/>
      <c r="K35" s="10" t="n"/>
      <c r="L35" s="10" t="n"/>
      <c r="M35" s="33" t="n"/>
      <c r="N35" s="10" t="n"/>
      <c r="O35" s="32" t="n"/>
      <c r="P35" s="16">
        <f>IF(A35="","",IF(L35="已取消","已取消",IF(L35="已完成",IF(OR(M35="",N35=""),"补完成证据","已完成"),IF(J35="","待定日期",IF(NOT(ISNUMBER(J35)),"检查日期",IF(J35&lt;'使用说明'!$B$5,"已逾期",IF(J35='使用说明'!$B$5,"今日跟进","待跟进")))))))</f>
        <v/>
      </c>
      <c r="Q35" s="16">
        <f>IF(A35="","",IF(OR(COUNTIF($A$8:$A$207,A35)&lt;&gt;1,COUNTIF('公司'!$A$8:$A$207,B35)&lt;&gt;1,AND(D35&lt;&gt;"",COUNTIF('联系人'!$A$8:$A$207,D35)&lt;&gt;1),AND(E35&lt;&gt;"",COUNTIF('用胶项目'!$A$8:$A$207,E35)&lt;&gt;1),AND(F35&lt;&gt;"",COUNTIF('样品测试'!$A$8:$A$207,F35)&lt;&gt;1),AND(O35&lt;&gt;"",COUNTIF('沟通记录'!$A$8:$A$207,O35)&lt;&gt;1)),"检查编号或关联","正常"))</f>
        <v/>
      </c>
    </row>
    <row r="36" ht="34" customHeight="1">
      <c r="A36" s="32" t="n"/>
      <c r="B36" s="32" t="n"/>
      <c r="C36" s="16">
        <f>IF(B36="","",IF(COUNTIF('公司'!$A$8:$A$207,B36)&lt;&gt;1,"编号缺失或重复",INDEX('公司'!$B$8:$B$207,MATCH(B36,'公司'!$A$8:$A$207,0))))</f>
        <v/>
      </c>
      <c r="D36" s="32" t="n"/>
      <c r="E36" s="32" t="n"/>
      <c r="F36" s="32" t="n"/>
      <c r="G36" s="10" t="n"/>
      <c r="H36" s="10" t="n"/>
      <c r="I36" s="10" t="n"/>
      <c r="J36" s="33" t="n"/>
      <c r="K36" s="10" t="n"/>
      <c r="L36" s="10" t="n"/>
      <c r="M36" s="33" t="n"/>
      <c r="N36" s="10" t="n"/>
      <c r="O36" s="32" t="n"/>
      <c r="P36" s="16">
        <f>IF(A36="","",IF(L36="已取消","已取消",IF(L36="已完成",IF(OR(M36="",N36=""),"补完成证据","已完成"),IF(J36="","待定日期",IF(NOT(ISNUMBER(J36)),"检查日期",IF(J36&lt;'使用说明'!$B$5,"已逾期",IF(J36='使用说明'!$B$5,"今日跟进","待跟进")))))))</f>
        <v/>
      </c>
      <c r="Q36" s="16">
        <f>IF(A36="","",IF(OR(COUNTIF($A$8:$A$207,A36)&lt;&gt;1,COUNTIF('公司'!$A$8:$A$207,B36)&lt;&gt;1,AND(D36&lt;&gt;"",COUNTIF('联系人'!$A$8:$A$207,D36)&lt;&gt;1),AND(E36&lt;&gt;"",COUNTIF('用胶项目'!$A$8:$A$207,E36)&lt;&gt;1),AND(F36&lt;&gt;"",COUNTIF('样品测试'!$A$8:$A$207,F36)&lt;&gt;1),AND(O36&lt;&gt;"",COUNTIF('沟通记录'!$A$8:$A$207,O36)&lt;&gt;1)),"检查编号或关联","正常"))</f>
        <v/>
      </c>
    </row>
    <row r="37" ht="34" customHeight="1">
      <c r="A37" s="32" t="n"/>
      <c r="B37" s="32" t="n"/>
      <c r="C37" s="16">
        <f>IF(B37="","",IF(COUNTIF('公司'!$A$8:$A$207,B37)&lt;&gt;1,"编号缺失或重复",INDEX('公司'!$B$8:$B$207,MATCH(B37,'公司'!$A$8:$A$207,0))))</f>
        <v/>
      </c>
      <c r="D37" s="32" t="n"/>
      <c r="E37" s="32" t="n"/>
      <c r="F37" s="32" t="n"/>
      <c r="G37" s="10" t="n"/>
      <c r="H37" s="10" t="n"/>
      <c r="I37" s="10" t="n"/>
      <c r="J37" s="33" t="n"/>
      <c r="K37" s="10" t="n"/>
      <c r="L37" s="10" t="n"/>
      <c r="M37" s="33" t="n"/>
      <c r="N37" s="10" t="n"/>
      <c r="O37" s="32" t="n"/>
      <c r="P37" s="16">
        <f>IF(A37="","",IF(L37="已取消","已取消",IF(L37="已完成",IF(OR(M37="",N37=""),"补完成证据","已完成"),IF(J37="","待定日期",IF(NOT(ISNUMBER(J37)),"检查日期",IF(J37&lt;'使用说明'!$B$5,"已逾期",IF(J37='使用说明'!$B$5,"今日跟进","待跟进")))))))</f>
        <v/>
      </c>
      <c r="Q37" s="16">
        <f>IF(A37="","",IF(OR(COUNTIF($A$8:$A$207,A37)&lt;&gt;1,COUNTIF('公司'!$A$8:$A$207,B37)&lt;&gt;1,AND(D37&lt;&gt;"",COUNTIF('联系人'!$A$8:$A$207,D37)&lt;&gt;1),AND(E37&lt;&gt;"",COUNTIF('用胶项目'!$A$8:$A$207,E37)&lt;&gt;1),AND(F37&lt;&gt;"",COUNTIF('样品测试'!$A$8:$A$207,F37)&lt;&gt;1),AND(O37&lt;&gt;"",COUNTIF('沟通记录'!$A$8:$A$207,O37)&lt;&gt;1)),"检查编号或关联","正常"))</f>
        <v/>
      </c>
    </row>
    <row r="38" ht="34" customHeight="1">
      <c r="A38" s="32" t="n"/>
      <c r="B38" s="32" t="n"/>
      <c r="C38" s="16">
        <f>IF(B38="","",IF(COUNTIF('公司'!$A$8:$A$207,B38)&lt;&gt;1,"编号缺失或重复",INDEX('公司'!$B$8:$B$207,MATCH(B38,'公司'!$A$8:$A$207,0))))</f>
        <v/>
      </c>
      <c r="D38" s="32" t="n"/>
      <c r="E38" s="32" t="n"/>
      <c r="F38" s="32" t="n"/>
      <c r="G38" s="10" t="n"/>
      <c r="H38" s="10" t="n"/>
      <c r="I38" s="10" t="n"/>
      <c r="J38" s="33" t="n"/>
      <c r="K38" s="10" t="n"/>
      <c r="L38" s="10" t="n"/>
      <c r="M38" s="33" t="n"/>
      <c r="N38" s="10" t="n"/>
      <c r="O38" s="32" t="n"/>
      <c r="P38" s="16">
        <f>IF(A38="","",IF(L38="已取消","已取消",IF(L38="已完成",IF(OR(M38="",N38=""),"补完成证据","已完成"),IF(J38="","待定日期",IF(NOT(ISNUMBER(J38)),"检查日期",IF(J38&lt;'使用说明'!$B$5,"已逾期",IF(J38='使用说明'!$B$5,"今日跟进","待跟进")))))))</f>
        <v/>
      </c>
      <c r="Q38" s="16">
        <f>IF(A38="","",IF(OR(COUNTIF($A$8:$A$207,A38)&lt;&gt;1,COUNTIF('公司'!$A$8:$A$207,B38)&lt;&gt;1,AND(D38&lt;&gt;"",COUNTIF('联系人'!$A$8:$A$207,D38)&lt;&gt;1),AND(E38&lt;&gt;"",COUNTIF('用胶项目'!$A$8:$A$207,E38)&lt;&gt;1),AND(F38&lt;&gt;"",COUNTIF('样品测试'!$A$8:$A$207,F38)&lt;&gt;1),AND(O38&lt;&gt;"",COUNTIF('沟通记录'!$A$8:$A$207,O38)&lt;&gt;1)),"检查编号或关联","正常"))</f>
        <v/>
      </c>
    </row>
    <row r="39" ht="34" customHeight="1">
      <c r="A39" s="32" t="n"/>
      <c r="B39" s="32" t="n"/>
      <c r="C39" s="16">
        <f>IF(B39="","",IF(COUNTIF('公司'!$A$8:$A$207,B39)&lt;&gt;1,"编号缺失或重复",INDEX('公司'!$B$8:$B$207,MATCH(B39,'公司'!$A$8:$A$207,0))))</f>
        <v/>
      </c>
      <c r="D39" s="32" t="n"/>
      <c r="E39" s="32" t="n"/>
      <c r="F39" s="32" t="n"/>
      <c r="G39" s="10" t="n"/>
      <c r="H39" s="10" t="n"/>
      <c r="I39" s="10" t="n"/>
      <c r="J39" s="33" t="n"/>
      <c r="K39" s="10" t="n"/>
      <c r="L39" s="10" t="n"/>
      <c r="M39" s="33" t="n"/>
      <c r="N39" s="10" t="n"/>
      <c r="O39" s="32" t="n"/>
      <c r="P39" s="16">
        <f>IF(A39="","",IF(L39="已取消","已取消",IF(L39="已完成",IF(OR(M39="",N39=""),"补完成证据","已完成"),IF(J39="","待定日期",IF(NOT(ISNUMBER(J39)),"检查日期",IF(J39&lt;'使用说明'!$B$5,"已逾期",IF(J39='使用说明'!$B$5,"今日跟进","待跟进")))))))</f>
        <v/>
      </c>
      <c r="Q39" s="16">
        <f>IF(A39="","",IF(OR(COUNTIF($A$8:$A$207,A39)&lt;&gt;1,COUNTIF('公司'!$A$8:$A$207,B39)&lt;&gt;1,AND(D39&lt;&gt;"",COUNTIF('联系人'!$A$8:$A$207,D39)&lt;&gt;1),AND(E39&lt;&gt;"",COUNTIF('用胶项目'!$A$8:$A$207,E39)&lt;&gt;1),AND(F39&lt;&gt;"",COUNTIF('样品测试'!$A$8:$A$207,F39)&lt;&gt;1),AND(O39&lt;&gt;"",COUNTIF('沟通记录'!$A$8:$A$207,O39)&lt;&gt;1)),"检查编号或关联","正常"))</f>
        <v/>
      </c>
    </row>
    <row r="40" ht="34" customHeight="1">
      <c r="A40" s="32" t="n"/>
      <c r="B40" s="32" t="n"/>
      <c r="C40" s="16">
        <f>IF(B40="","",IF(COUNTIF('公司'!$A$8:$A$207,B40)&lt;&gt;1,"编号缺失或重复",INDEX('公司'!$B$8:$B$207,MATCH(B40,'公司'!$A$8:$A$207,0))))</f>
        <v/>
      </c>
      <c r="D40" s="32" t="n"/>
      <c r="E40" s="32" t="n"/>
      <c r="F40" s="32" t="n"/>
      <c r="G40" s="10" t="n"/>
      <c r="H40" s="10" t="n"/>
      <c r="I40" s="10" t="n"/>
      <c r="J40" s="33" t="n"/>
      <c r="K40" s="10" t="n"/>
      <c r="L40" s="10" t="n"/>
      <c r="M40" s="33" t="n"/>
      <c r="N40" s="10" t="n"/>
      <c r="O40" s="32" t="n"/>
      <c r="P40" s="16">
        <f>IF(A40="","",IF(L40="已取消","已取消",IF(L40="已完成",IF(OR(M40="",N40=""),"补完成证据","已完成"),IF(J40="","待定日期",IF(NOT(ISNUMBER(J40)),"检查日期",IF(J40&lt;'使用说明'!$B$5,"已逾期",IF(J40='使用说明'!$B$5,"今日跟进","待跟进")))))))</f>
        <v/>
      </c>
      <c r="Q40" s="16">
        <f>IF(A40="","",IF(OR(COUNTIF($A$8:$A$207,A40)&lt;&gt;1,COUNTIF('公司'!$A$8:$A$207,B40)&lt;&gt;1,AND(D40&lt;&gt;"",COUNTIF('联系人'!$A$8:$A$207,D40)&lt;&gt;1),AND(E40&lt;&gt;"",COUNTIF('用胶项目'!$A$8:$A$207,E40)&lt;&gt;1),AND(F40&lt;&gt;"",COUNTIF('样品测试'!$A$8:$A$207,F40)&lt;&gt;1),AND(O40&lt;&gt;"",COUNTIF('沟通记录'!$A$8:$A$207,O40)&lt;&gt;1)),"检查编号或关联","正常"))</f>
        <v/>
      </c>
    </row>
    <row r="41" ht="34" customHeight="1">
      <c r="A41" s="32" t="n"/>
      <c r="B41" s="32" t="n"/>
      <c r="C41" s="16">
        <f>IF(B41="","",IF(COUNTIF('公司'!$A$8:$A$207,B41)&lt;&gt;1,"编号缺失或重复",INDEX('公司'!$B$8:$B$207,MATCH(B41,'公司'!$A$8:$A$207,0))))</f>
        <v/>
      </c>
      <c r="D41" s="32" t="n"/>
      <c r="E41" s="32" t="n"/>
      <c r="F41" s="32" t="n"/>
      <c r="G41" s="10" t="n"/>
      <c r="H41" s="10" t="n"/>
      <c r="I41" s="10" t="n"/>
      <c r="J41" s="33" t="n"/>
      <c r="K41" s="10" t="n"/>
      <c r="L41" s="10" t="n"/>
      <c r="M41" s="33" t="n"/>
      <c r="N41" s="10" t="n"/>
      <c r="O41" s="32" t="n"/>
      <c r="P41" s="16">
        <f>IF(A41="","",IF(L41="已取消","已取消",IF(L41="已完成",IF(OR(M41="",N41=""),"补完成证据","已完成"),IF(J41="","待定日期",IF(NOT(ISNUMBER(J41)),"检查日期",IF(J41&lt;'使用说明'!$B$5,"已逾期",IF(J41='使用说明'!$B$5,"今日跟进","待跟进")))))))</f>
        <v/>
      </c>
      <c r="Q41" s="16">
        <f>IF(A41="","",IF(OR(COUNTIF($A$8:$A$207,A41)&lt;&gt;1,COUNTIF('公司'!$A$8:$A$207,B41)&lt;&gt;1,AND(D41&lt;&gt;"",COUNTIF('联系人'!$A$8:$A$207,D41)&lt;&gt;1),AND(E41&lt;&gt;"",COUNTIF('用胶项目'!$A$8:$A$207,E41)&lt;&gt;1),AND(F41&lt;&gt;"",COUNTIF('样品测试'!$A$8:$A$207,F41)&lt;&gt;1),AND(O41&lt;&gt;"",COUNTIF('沟通记录'!$A$8:$A$207,O41)&lt;&gt;1)),"检查编号或关联","正常"))</f>
        <v/>
      </c>
    </row>
    <row r="42" ht="34" customHeight="1">
      <c r="A42" s="32" t="n"/>
      <c r="B42" s="32" t="n"/>
      <c r="C42" s="16">
        <f>IF(B42="","",IF(COUNTIF('公司'!$A$8:$A$207,B42)&lt;&gt;1,"编号缺失或重复",INDEX('公司'!$B$8:$B$207,MATCH(B42,'公司'!$A$8:$A$207,0))))</f>
        <v/>
      </c>
      <c r="D42" s="32" t="n"/>
      <c r="E42" s="32" t="n"/>
      <c r="F42" s="32" t="n"/>
      <c r="G42" s="10" t="n"/>
      <c r="H42" s="10" t="n"/>
      <c r="I42" s="10" t="n"/>
      <c r="J42" s="33" t="n"/>
      <c r="K42" s="10" t="n"/>
      <c r="L42" s="10" t="n"/>
      <c r="M42" s="33" t="n"/>
      <c r="N42" s="10" t="n"/>
      <c r="O42" s="32" t="n"/>
      <c r="P42" s="16">
        <f>IF(A42="","",IF(L42="已取消","已取消",IF(L42="已完成",IF(OR(M42="",N42=""),"补完成证据","已完成"),IF(J42="","待定日期",IF(NOT(ISNUMBER(J42)),"检查日期",IF(J42&lt;'使用说明'!$B$5,"已逾期",IF(J42='使用说明'!$B$5,"今日跟进","待跟进")))))))</f>
        <v/>
      </c>
      <c r="Q42" s="16">
        <f>IF(A42="","",IF(OR(COUNTIF($A$8:$A$207,A42)&lt;&gt;1,COUNTIF('公司'!$A$8:$A$207,B42)&lt;&gt;1,AND(D42&lt;&gt;"",COUNTIF('联系人'!$A$8:$A$207,D42)&lt;&gt;1),AND(E42&lt;&gt;"",COUNTIF('用胶项目'!$A$8:$A$207,E42)&lt;&gt;1),AND(F42&lt;&gt;"",COUNTIF('样品测试'!$A$8:$A$207,F42)&lt;&gt;1),AND(O42&lt;&gt;"",COUNTIF('沟通记录'!$A$8:$A$207,O42)&lt;&gt;1)),"检查编号或关联","正常"))</f>
        <v/>
      </c>
    </row>
    <row r="43" ht="34" customHeight="1">
      <c r="A43" s="32" t="n"/>
      <c r="B43" s="32" t="n"/>
      <c r="C43" s="16">
        <f>IF(B43="","",IF(COUNTIF('公司'!$A$8:$A$207,B43)&lt;&gt;1,"编号缺失或重复",INDEX('公司'!$B$8:$B$207,MATCH(B43,'公司'!$A$8:$A$207,0))))</f>
        <v/>
      </c>
      <c r="D43" s="32" t="n"/>
      <c r="E43" s="32" t="n"/>
      <c r="F43" s="32" t="n"/>
      <c r="G43" s="10" t="n"/>
      <c r="H43" s="10" t="n"/>
      <c r="I43" s="10" t="n"/>
      <c r="J43" s="33" t="n"/>
      <c r="K43" s="10" t="n"/>
      <c r="L43" s="10" t="n"/>
      <c r="M43" s="33" t="n"/>
      <c r="N43" s="10" t="n"/>
      <c r="O43" s="32" t="n"/>
      <c r="P43" s="16">
        <f>IF(A43="","",IF(L43="已取消","已取消",IF(L43="已完成",IF(OR(M43="",N43=""),"补完成证据","已完成"),IF(J43="","待定日期",IF(NOT(ISNUMBER(J43)),"检查日期",IF(J43&lt;'使用说明'!$B$5,"已逾期",IF(J43='使用说明'!$B$5,"今日跟进","待跟进")))))))</f>
        <v/>
      </c>
      <c r="Q43" s="16">
        <f>IF(A43="","",IF(OR(COUNTIF($A$8:$A$207,A43)&lt;&gt;1,COUNTIF('公司'!$A$8:$A$207,B43)&lt;&gt;1,AND(D43&lt;&gt;"",COUNTIF('联系人'!$A$8:$A$207,D43)&lt;&gt;1),AND(E43&lt;&gt;"",COUNTIF('用胶项目'!$A$8:$A$207,E43)&lt;&gt;1),AND(F43&lt;&gt;"",COUNTIF('样品测试'!$A$8:$A$207,F43)&lt;&gt;1),AND(O43&lt;&gt;"",COUNTIF('沟通记录'!$A$8:$A$207,O43)&lt;&gt;1)),"检查编号或关联","正常"))</f>
        <v/>
      </c>
    </row>
    <row r="44" ht="34" customHeight="1">
      <c r="A44" s="32" t="n"/>
      <c r="B44" s="32" t="n"/>
      <c r="C44" s="16">
        <f>IF(B44="","",IF(COUNTIF('公司'!$A$8:$A$207,B44)&lt;&gt;1,"编号缺失或重复",INDEX('公司'!$B$8:$B$207,MATCH(B44,'公司'!$A$8:$A$207,0))))</f>
        <v/>
      </c>
      <c r="D44" s="32" t="n"/>
      <c r="E44" s="32" t="n"/>
      <c r="F44" s="32" t="n"/>
      <c r="G44" s="10" t="n"/>
      <c r="H44" s="10" t="n"/>
      <c r="I44" s="10" t="n"/>
      <c r="J44" s="33" t="n"/>
      <c r="K44" s="10" t="n"/>
      <c r="L44" s="10" t="n"/>
      <c r="M44" s="33" t="n"/>
      <c r="N44" s="10" t="n"/>
      <c r="O44" s="32" t="n"/>
      <c r="P44" s="16">
        <f>IF(A44="","",IF(L44="已取消","已取消",IF(L44="已完成",IF(OR(M44="",N44=""),"补完成证据","已完成"),IF(J44="","待定日期",IF(NOT(ISNUMBER(J44)),"检查日期",IF(J44&lt;'使用说明'!$B$5,"已逾期",IF(J44='使用说明'!$B$5,"今日跟进","待跟进")))))))</f>
        <v/>
      </c>
      <c r="Q44" s="16">
        <f>IF(A44="","",IF(OR(COUNTIF($A$8:$A$207,A44)&lt;&gt;1,COUNTIF('公司'!$A$8:$A$207,B44)&lt;&gt;1,AND(D44&lt;&gt;"",COUNTIF('联系人'!$A$8:$A$207,D44)&lt;&gt;1),AND(E44&lt;&gt;"",COUNTIF('用胶项目'!$A$8:$A$207,E44)&lt;&gt;1),AND(F44&lt;&gt;"",COUNTIF('样品测试'!$A$8:$A$207,F44)&lt;&gt;1),AND(O44&lt;&gt;"",COUNTIF('沟通记录'!$A$8:$A$207,O44)&lt;&gt;1)),"检查编号或关联","正常"))</f>
        <v/>
      </c>
    </row>
    <row r="45" ht="34" customHeight="1">
      <c r="A45" s="32" t="n"/>
      <c r="B45" s="32" t="n"/>
      <c r="C45" s="16">
        <f>IF(B45="","",IF(COUNTIF('公司'!$A$8:$A$207,B45)&lt;&gt;1,"编号缺失或重复",INDEX('公司'!$B$8:$B$207,MATCH(B45,'公司'!$A$8:$A$207,0))))</f>
        <v/>
      </c>
      <c r="D45" s="32" t="n"/>
      <c r="E45" s="32" t="n"/>
      <c r="F45" s="32" t="n"/>
      <c r="G45" s="10" t="n"/>
      <c r="H45" s="10" t="n"/>
      <c r="I45" s="10" t="n"/>
      <c r="J45" s="33" t="n"/>
      <c r="K45" s="10" t="n"/>
      <c r="L45" s="10" t="n"/>
      <c r="M45" s="33" t="n"/>
      <c r="N45" s="10" t="n"/>
      <c r="O45" s="32" t="n"/>
      <c r="P45" s="16">
        <f>IF(A45="","",IF(L45="已取消","已取消",IF(L45="已完成",IF(OR(M45="",N45=""),"补完成证据","已完成"),IF(J45="","待定日期",IF(NOT(ISNUMBER(J45)),"检查日期",IF(J45&lt;'使用说明'!$B$5,"已逾期",IF(J45='使用说明'!$B$5,"今日跟进","待跟进")))))))</f>
        <v/>
      </c>
      <c r="Q45" s="16">
        <f>IF(A45="","",IF(OR(COUNTIF($A$8:$A$207,A45)&lt;&gt;1,COUNTIF('公司'!$A$8:$A$207,B45)&lt;&gt;1,AND(D45&lt;&gt;"",COUNTIF('联系人'!$A$8:$A$207,D45)&lt;&gt;1),AND(E45&lt;&gt;"",COUNTIF('用胶项目'!$A$8:$A$207,E45)&lt;&gt;1),AND(F45&lt;&gt;"",COUNTIF('样品测试'!$A$8:$A$207,F45)&lt;&gt;1),AND(O45&lt;&gt;"",COUNTIF('沟通记录'!$A$8:$A$207,O45)&lt;&gt;1)),"检查编号或关联","正常"))</f>
        <v/>
      </c>
    </row>
    <row r="46" ht="34" customHeight="1">
      <c r="A46" s="32" t="n"/>
      <c r="B46" s="32" t="n"/>
      <c r="C46" s="16">
        <f>IF(B46="","",IF(COUNTIF('公司'!$A$8:$A$207,B46)&lt;&gt;1,"编号缺失或重复",INDEX('公司'!$B$8:$B$207,MATCH(B46,'公司'!$A$8:$A$207,0))))</f>
        <v/>
      </c>
      <c r="D46" s="32" t="n"/>
      <c r="E46" s="32" t="n"/>
      <c r="F46" s="32" t="n"/>
      <c r="G46" s="10" t="n"/>
      <c r="H46" s="10" t="n"/>
      <c r="I46" s="10" t="n"/>
      <c r="J46" s="33" t="n"/>
      <c r="K46" s="10" t="n"/>
      <c r="L46" s="10" t="n"/>
      <c r="M46" s="33" t="n"/>
      <c r="N46" s="10" t="n"/>
      <c r="O46" s="32" t="n"/>
      <c r="P46" s="16">
        <f>IF(A46="","",IF(L46="已取消","已取消",IF(L46="已完成",IF(OR(M46="",N46=""),"补完成证据","已完成"),IF(J46="","待定日期",IF(NOT(ISNUMBER(J46)),"检查日期",IF(J46&lt;'使用说明'!$B$5,"已逾期",IF(J46='使用说明'!$B$5,"今日跟进","待跟进")))))))</f>
        <v/>
      </c>
      <c r="Q46" s="16">
        <f>IF(A46="","",IF(OR(COUNTIF($A$8:$A$207,A46)&lt;&gt;1,COUNTIF('公司'!$A$8:$A$207,B46)&lt;&gt;1,AND(D46&lt;&gt;"",COUNTIF('联系人'!$A$8:$A$207,D46)&lt;&gt;1),AND(E46&lt;&gt;"",COUNTIF('用胶项目'!$A$8:$A$207,E46)&lt;&gt;1),AND(F46&lt;&gt;"",COUNTIF('样品测试'!$A$8:$A$207,F46)&lt;&gt;1),AND(O46&lt;&gt;"",COUNTIF('沟通记录'!$A$8:$A$207,O46)&lt;&gt;1)),"检查编号或关联","正常"))</f>
        <v/>
      </c>
    </row>
    <row r="47" ht="34" customHeight="1">
      <c r="A47" s="32" t="n"/>
      <c r="B47" s="32" t="n"/>
      <c r="C47" s="16">
        <f>IF(B47="","",IF(COUNTIF('公司'!$A$8:$A$207,B47)&lt;&gt;1,"编号缺失或重复",INDEX('公司'!$B$8:$B$207,MATCH(B47,'公司'!$A$8:$A$207,0))))</f>
        <v/>
      </c>
      <c r="D47" s="32" t="n"/>
      <c r="E47" s="32" t="n"/>
      <c r="F47" s="32" t="n"/>
      <c r="G47" s="10" t="n"/>
      <c r="H47" s="10" t="n"/>
      <c r="I47" s="10" t="n"/>
      <c r="J47" s="33" t="n"/>
      <c r="K47" s="10" t="n"/>
      <c r="L47" s="10" t="n"/>
      <c r="M47" s="33" t="n"/>
      <c r="N47" s="10" t="n"/>
      <c r="O47" s="32" t="n"/>
      <c r="P47" s="16">
        <f>IF(A47="","",IF(L47="已取消","已取消",IF(L47="已完成",IF(OR(M47="",N47=""),"补完成证据","已完成"),IF(J47="","待定日期",IF(NOT(ISNUMBER(J47)),"检查日期",IF(J47&lt;'使用说明'!$B$5,"已逾期",IF(J47='使用说明'!$B$5,"今日跟进","待跟进")))))))</f>
        <v/>
      </c>
      <c r="Q47" s="16">
        <f>IF(A47="","",IF(OR(COUNTIF($A$8:$A$207,A47)&lt;&gt;1,COUNTIF('公司'!$A$8:$A$207,B47)&lt;&gt;1,AND(D47&lt;&gt;"",COUNTIF('联系人'!$A$8:$A$207,D47)&lt;&gt;1),AND(E47&lt;&gt;"",COUNTIF('用胶项目'!$A$8:$A$207,E47)&lt;&gt;1),AND(F47&lt;&gt;"",COUNTIF('样品测试'!$A$8:$A$207,F47)&lt;&gt;1),AND(O47&lt;&gt;"",COUNTIF('沟通记录'!$A$8:$A$207,O47)&lt;&gt;1)),"检查编号或关联","正常"))</f>
        <v/>
      </c>
    </row>
    <row r="48" ht="34" customHeight="1">
      <c r="A48" s="32" t="n"/>
      <c r="B48" s="32" t="n"/>
      <c r="C48" s="16">
        <f>IF(B48="","",IF(COUNTIF('公司'!$A$8:$A$207,B48)&lt;&gt;1,"编号缺失或重复",INDEX('公司'!$B$8:$B$207,MATCH(B48,'公司'!$A$8:$A$207,0))))</f>
        <v/>
      </c>
      <c r="D48" s="32" t="n"/>
      <c r="E48" s="32" t="n"/>
      <c r="F48" s="32" t="n"/>
      <c r="G48" s="10" t="n"/>
      <c r="H48" s="10" t="n"/>
      <c r="I48" s="10" t="n"/>
      <c r="J48" s="33" t="n"/>
      <c r="K48" s="10" t="n"/>
      <c r="L48" s="10" t="n"/>
      <c r="M48" s="33" t="n"/>
      <c r="N48" s="10" t="n"/>
      <c r="O48" s="32" t="n"/>
      <c r="P48" s="16">
        <f>IF(A48="","",IF(L48="已取消","已取消",IF(L48="已完成",IF(OR(M48="",N48=""),"补完成证据","已完成"),IF(J48="","待定日期",IF(NOT(ISNUMBER(J48)),"检查日期",IF(J48&lt;'使用说明'!$B$5,"已逾期",IF(J48='使用说明'!$B$5,"今日跟进","待跟进")))))))</f>
        <v/>
      </c>
      <c r="Q48" s="16">
        <f>IF(A48="","",IF(OR(COUNTIF($A$8:$A$207,A48)&lt;&gt;1,COUNTIF('公司'!$A$8:$A$207,B48)&lt;&gt;1,AND(D48&lt;&gt;"",COUNTIF('联系人'!$A$8:$A$207,D48)&lt;&gt;1),AND(E48&lt;&gt;"",COUNTIF('用胶项目'!$A$8:$A$207,E48)&lt;&gt;1),AND(F48&lt;&gt;"",COUNTIF('样品测试'!$A$8:$A$207,F48)&lt;&gt;1),AND(O48&lt;&gt;"",COUNTIF('沟通记录'!$A$8:$A$207,O48)&lt;&gt;1)),"检查编号或关联","正常"))</f>
        <v/>
      </c>
    </row>
    <row r="49" ht="34" customHeight="1">
      <c r="A49" s="32" t="n"/>
      <c r="B49" s="32" t="n"/>
      <c r="C49" s="16">
        <f>IF(B49="","",IF(COUNTIF('公司'!$A$8:$A$207,B49)&lt;&gt;1,"编号缺失或重复",INDEX('公司'!$B$8:$B$207,MATCH(B49,'公司'!$A$8:$A$207,0))))</f>
        <v/>
      </c>
      <c r="D49" s="32" t="n"/>
      <c r="E49" s="32" t="n"/>
      <c r="F49" s="32" t="n"/>
      <c r="G49" s="10" t="n"/>
      <c r="H49" s="10" t="n"/>
      <c r="I49" s="10" t="n"/>
      <c r="J49" s="33" t="n"/>
      <c r="K49" s="10" t="n"/>
      <c r="L49" s="10" t="n"/>
      <c r="M49" s="33" t="n"/>
      <c r="N49" s="10" t="n"/>
      <c r="O49" s="32" t="n"/>
      <c r="P49" s="16">
        <f>IF(A49="","",IF(L49="已取消","已取消",IF(L49="已完成",IF(OR(M49="",N49=""),"补完成证据","已完成"),IF(J49="","待定日期",IF(NOT(ISNUMBER(J49)),"检查日期",IF(J49&lt;'使用说明'!$B$5,"已逾期",IF(J49='使用说明'!$B$5,"今日跟进","待跟进")))))))</f>
        <v/>
      </c>
      <c r="Q49" s="16">
        <f>IF(A49="","",IF(OR(COUNTIF($A$8:$A$207,A49)&lt;&gt;1,COUNTIF('公司'!$A$8:$A$207,B49)&lt;&gt;1,AND(D49&lt;&gt;"",COUNTIF('联系人'!$A$8:$A$207,D49)&lt;&gt;1),AND(E49&lt;&gt;"",COUNTIF('用胶项目'!$A$8:$A$207,E49)&lt;&gt;1),AND(F49&lt;&gt;"",COUNTIF('样品测试'!$A$8:$A$207,F49)&lt;&gt;1),AND(O49&lt;&gt;"",COUNTIF('沟通记录'!$A$8:$A$207,O49)&lt;&gt;1)),"检查编号或关联","正常"))</f>
        <v/>
      </c>
    </row>
    <row r="50" ht="34" customHeight="1">
      <c r="A50" s="32" t="n"/>
      <c r="B50" s="32" t="n"/>
      <c r="C50" s="16">
        <f>IF(B50="","",IF(COUNTIF('公司'!$A$8:$A$207,B50)&lt;&gt;1,"编号缺失或重复",INDEX('公司'!$B$8:$B$207,MATCH(B50,'公司'!$A$8:$A$207,0))))</f>
        <v/>
      </c>
      <c r="D50" s="32" t="n"/>
      <c r="E50" s="32" t="n"/>
      <c r="F50" s="32" t="n"/>
      <c r="G50" s="10" t="n"/>
      <c r="H50" s="10" t="n"/>
      <c r="I50" s="10" t="n"/>
      <c r="J50" s="33" t="n"/>
      <c r="K50" s="10" t="n"/>
      <c r="L50" s="10" t="n"/>
      <c r="M50" s="33" t="n"/>
      <c r="N50" s="10" t="n"/>
      <c r="O50" s="32" t="n"/>
      <c r="P50" s="16">
        <f>IF(A50="","",IF(L50="已取消","已取消",IF(L50="已完成",IF(OR(M50="",N50=""),"补完成证据","已完成"),IF(J50="","待定日期",IF(NOT(ISNUMBER(J50)),"检查日期",IF(J50&lt;'使用说明'!$B$5,"已逾期",IF(J50='使用说明'!$B$5,"今日跟进","待跟进")))))))</f>
        <v/>
      </c>
      <c r="Q50" s="16">
        <f>IF(A50="","",IF(OR(COUNTIF($A$8:$A$207,A50)&lt;&gt;1,COUNTIF('公司'!$A$8:$A$207,B50)&lt;&gt;1,AND(D50&lt;&gt;"",COUNTIF('联系人'!$A$8:$A$207,D50)&lt;&gt;1),AND(E50&lt;&gt;"",COUNTIF('用胶项目'!$A$8:$A$207,E50)&lt;&gt;1),AND(F50&lt;&gt;"",COUNTIF('样品测试'!$A$8:$A$207,F50)&lt;&gt;1),AND(O50&lt;&gt;"",COUNTIF('沟通记录'!$A$8:$A$207,O50)&lt;&gt;1)),"检查编号或关联","正常"))</f>
        <v/>
      </c>
    </row>
    <row r="51" ht="34" customHeight="1">
      <c r="A51" s="32" t="n"/>
      <c r="B51" s="32" t="n"/>
      <c r="C51" s="16">
        <f>IF(B51="","",IF(COUNTIF('公司'!$A$8:$A$207,B51)&lt;&gt;1,"编号缺失或重复",INDEX('公司'!$B$8:$B$207,MATCH(B51,'公司'!$A$8:$A$207,0))))</f>
        <v/>
      </c>
      <c r="D51" s="32" t="n"/>
      <c r="E51" s="32" t="n"/>
      <c r="F51" s="32" t="n"/>
      <c r="G51" s="10" t="n"/>
      <c r="H51" s="10" t="n"/>
      <c r="I51" s="10" t="n"/>
      <c r="J51" s="33" t="n"/>
      <c r="K51" s="10" t="n"/>
      <c r="L51" s="10" t="n"/>
      <c r="M51" s="33" t="n"/>
      <c r="N51" s="10" t="n"/>
      <c r="O51" s="32" t="n"/>
      <c r="P51" s="16">
        <f>IF(A51="","",IF(L51="已取消","已取消",IF(L51="已完成",IF(OR(M51="",N51=""),"补完成证据","已完成"),IF(J51="","待定日期",IF(NOT(ISNUMBER(J51)),"检查日期",IF(J51&lt;'使用说明'!$B$5,"已逾期",IF(J51='使用说明'!$B$5,"今日跟进","待跟进")))))))</f>
        <v/>
      </c>
      <c r="Q51" s="16">
        <f>IF(A51="","",IF(OR(COUNTIF($A$8:$A$207,A51)&lt;&gt;1,COUNTIF('公司'!$A$8:$A$207,B51)&lt;&gt;1,AND(D51&lt;&gt;"",COUNTIF('联系人'!$A$8:$A$207,D51)&lt;&gt;1),AND(E51&lt;&gt;"",COUNTIF('用胶项目'!$A$8:$A$207,E51)&lt;&gt;1),AND(F51&lt;&gt;"",COUNTIF('样品测试'!$A$8:$A$207,F51)&lt;&gt;1),AND(O51&lt;&gt;"",COUNTIF('沟通记录'!$A$8:$A$207,O51)&lt;&gt;1)),"检查编号或关联","正常"))</f>
        <v/>
      </c>
    </row>
    <row r="52" ht="34" customHeight="1">
      <c r="A52" s="32" t="n"/>
      <c r="B52" s="32" t="n"/>
      <c r="C52" s="16">
        <f>IF(B52="","",IF(COUNTIF('公司'!$A$8:$A$207,B52)&lt;&gt;1,"编号缺失或重复",INDEX('公司'!$B$8:$B$207,MATCH(B52,'公司'!$A$8:$A$207,0))))</f>
        <v/>
      </c>
      <c r="D52" s="32" t="n"/>
      <c r="E52" s="32" t="n"/>
      <c r="F52" s="32" t="n"/>
      <c r="G52" s="10" t="n"/>
      <c r="H52" s="10" t="n"/>
      <c r="I52" s="10" t="n"/>
      <c r="J52" s="33" t="n"/>
      <c r="K52" s="10" t="n"/>
      <c r="L52" s="10" t="n"/>
      <c r="M52" s="33" t="n"/>
      <c r="N52" s="10" t="n"/>
      <c r="O52" s="32" t="n"/>
      <c r="P52" s="16">
        <f>IF(A52="","",IF(L52="已取消","已取消",IF(L52="已完成",IF(OR(M52="",N52=""),"补完成证据","已完成"),IF(J52="","待定日期",IF(NOT(ISNUMBER(J52)),"检查日期",IF(J52&lt;'使用说明'!$B$5,"已逾期",IF(J52='使用说明'!$B$5,"今日跟进","待跟进")))))))</f>
        <v/>
      </c>
      <c r="Q52" s="16">
        <f>IF(A52="","",IF(OR(COUNTIF($A$8:$A$207,A52)&lt;&gt;1,COUNTIF('公司'!$A$8:$A$207,B52)&lt;&gt;1,AND(D52&lt;&gt;"",COUNTIF('联系人'!$A$8:$A$207,D52)&lt;&gt;1),AND(E52&lt;&gt;"",COUNTIF('用胶项目'!$A$8:$A$207,E52)&lt;&gt;1),AND(F52&lt;&gt;"",COUNTIF('样品测试'!$A$8:$A$207,F52)&lt;&gt;1),AND(O52&lt;&gt;"",COUNTIF('沟通记录'!$A$8:$A$207,O52)&lt;&gt;1)),"检查编号或关联","正常"))</f>
        <v/>
      </c>
    </row>
    <row r="53" ht="34" customHeight="1">
      <c r="A53" s="32" t="n"/>
      <c r="B53" s="32" t="n"/>
      <c r="C53" s="16">
        <f>IF(B53="","",IF(COUNTIF('公司'!$A$8:$A$207,B53)&lt;&gt;1,"编号缺失或重复",INDEX('公司'!$B$8:$B$207,MATCH(B53,'公司'!$A$8:$A$207,0))))</f>
        <v/>
      </c>
      <c r="D53" s="32" t="n"/>
      <c r="E53" s="32" t="n"/>
      <c r="F53" s="32" t="n"/>
      <c r="G53" s="10" t="n"/>
      <c r="H53" s="10" t="n"/>
      <c r="I53" s="10" t="n"/>
      <c r="J53" s="33" t="n"/>
      <c r="K53" s="10" t="n"/>
      <c r="L53" s="10" t="n"/>
      <c r="M53" s="33" t="n"/>
      <c r="N53" s="10" t="n"/>
      <c r="O53" s="32" t="n"/>
      <c r="P53" s="16">
        <f>IF(A53="","",IF(L53="已取消","已取消",IF(L53="已完成",IF(OR(M53="",N53=""),"补完成证据","已完成"),IF(J53="","待定日期",IF(NOT(ISNUMBER(J53)),"检查日期",IF(J53&lt;'使用说明'!$B$5,"已逾期",IF(J53='使用说明'!$B$5,"今日跟进","待跟进")))))))</f>
        <v/>
      </c>
      <c r="Q53" s="16">
        <f>IF(A53="","",IF(OR(COUNTIF($A$8:$A$207,A53)&lt;&gt;1,COUNTIF('公司'!$A$8:$A$207,B53)&lt;&gt;1,AND(D53&lt;&gt;"",COUNTIF('联系人'!$A$8:$A$207,D53)&lt;&gt;1),AND(E53&lt;&gt;"",COUNTIF('用胶项目'!$A$8:$A$207,E53)&lt;&gt;1),AND(F53&lt;&gt;"",COUNTIF('样品测试'!$A$8:$A$207,F53)&lt;&gt;1),AND(O53&lt;&gt;"",COUNTIF('沟通记录'!$A$8:$A$207,O53)&lt;&gt;1)),"检查编号或关联","正常"))</f>
        <v/>
      </c>
    </row>
    <row r="54" ht="34" customHeight="1">
      <c r="A54" s="32" t="n"/>
      <c r="B54" s="32" t="n"/>
      <c r="C54" s="16">
        <f>IF(B54="","",IF(COUNTIF('公司'!$A$8:$A$207,B54)&lt;&gt;1,"编号缺失或重复",INDEX('公司'!$B$8:$B$207,MATCH(B54,'公司'!$A$8:$A$207,0))))</f>
        <v/>
      </c>
      <c r="D54" s="32" t="n"/>
      <c r="E54" s="32" t="n"/>
      <c r="F54" s="32" t="n"/>
      <c r="G54" s="10" t="n"/>
      <c r="H54" s="10" t="n"/>
      <c r="I54" s="10" t="n"/>
      <c r="J54" s="33" t="n"/>
      <c r="K54" s="10" t="n"/>
      <c r="L54" s="10" t="n"/>
      <c r="M54" s="33" t="n"/>
      <c r="N54" s="10" t="n"/>
      <c r="O54" s="32" t="n"/>
      <c r="P54" s="16">
        <f>IF(A54="","",IF(L54="已取消","已取消",IF(L54="已完成",IF(OR(M54="",N54=""),"补完成证据","已完成"),IF(J54="","待定日期",IF(NOT(ISNUMBER(J54)),"检查日期",IF(J54&lt;'使用说明'!$B$5,"已逾期",IF(J54='使用说明'!$B$5,"今日跟进","待跟进")))))))</f>
        <v/>
      </c>
      <c r="Q54" s="16">
        <f>IF(A54="","",IF(OR(COUNTIF($A$8:$A$207,A54)&lt;&gt;1,COUNTIF('公司'!$A$8:$A$207,B54)&lt;&gt;1,AND(D54&lt;&gt;"",COUNTIF('联系人'!$A$8:$A$207,D54)&lt;&gt;1),AND(E54&lt;&gt;"",COUNTIF('用胶项目'!$A$8:$A$207,E54)&lt;&gt;1),AND(F54&lt;&gt;"",COUNTIF('样品测试'!$A$8:$A$207,F54)&lt;&gt;1),AND(O54&lt;&gt;"",COUNTIF('沟通记录'!$A$8:$A$207,O54)&lt;&gt;1)),"检查编号或关联","正常"))</f>
        <v/>
      </c>
    </row>
    <row r="55" ht="34" customHeight="1">
      <c r="A55" s="32" t="n"/>
      <c r="B55" s="32" t="n"/>
      <c r="C55" s="16">
        <f>IF(B55="","",IF(COUNTIF('公司'!$A$8:$A$207,B55)&lt;&gt;1,"编号缺失或重复",INDEX('公司'!$B$8:$B$207,MATCH(B55,'公司'!$A$8:$A$207,0))))</f>
        <v/>
      </c>
      <c r="D55" s="32" t="n"/>
      <c r="E55" s="32" t="n"/>
      <c r="F55" s="32" t="n"/>
      <c r="G55" s="10" t="n"/>
      <c r="H55" s="10" t="n"/>
      <c r="I55" s="10" t="n"/>
      <c r="J55" s="33" t="n"/>
      <c r="K55" s="10" t="n"/>
      <c r="L55" s="10" t="n"/>
      <c r="M55" s="33" t="n"/>
      <c r="N55" s="10" t="n"/>
      <c r="O55" s="32" t="n"/>
      <c r="P55" s="16">
        <f>IF(A55="","",IF(L55="已取消","已取消",IF(L55="已完成",IF(OR(M55="",N55=""),"补完成证据","已完成"),IF(J55="","待定日期",IF(NOT(ISNUMBER(J55)),"检查日期",IF(J55&lt;'使用说明'!$B$5,"已逾期",IF(J55='使用说明'!$B$5,"今日跟进","待跟进")))))))</f>
        <v/>
      </c>
      <c r="Q55" s="16">
        <f>IF(A55="","",IF(OR(COUNTIF($A$8:$A$207,A55)&lt;&gt;1,COUNTIF('公司'!$A$8:$A$207,B55)&lt;&gt;1,AND(D55&lt;&gt;"",COUNTIF('联系人'!$A$8:$A$207,D55)&lt;&gt;1),AND(E55&lt;&gt;"",COUNTIF('用胶项目'!$A$8:$A$207,E55)&lt;&gt;1),AND(F55&lt;&gt;"",COUNTIF('样品测试'!$A$8:$A$207,F55)&lt;&gt;1),AND(O55&lt;&gt;"",COUNTIF('沟通记录'!$A$8:$A$207,O55)&lt;&gt;1)),"检查编号或关联","正常"))</f>
        <v/>
      </c>
    </row>
    <row r="56" ht="34" customHeight="1">
      <c r="A56" s="32" t="n"/>
      <c r="B56" s="32" t="n"/>
      <c r="C56" s="16">
        <f>IF(B56="","",IF(COUNTIF('公司'!$A$8:$A$207,B56)&lt;&gt;1,"编号缺失或重复",INDEX('公司'!$B$8:$B$207,MATCH(B56,'公司'!$A$8:$A$207,0))))</f>
        <v/>
      </c>
      <c r="D56" s="32" t="n"/>
      <c r="E56" s="32" t="n"/>
      <c r="F56" s="32" t="n"/>
      <c r="G56" s="10" t="n"/>
      <c r="H56" s="10" t="n"/>
      <c r="I56" s="10" t="n"/>
      <c r="J56" s="33" t="n"/>
      <c r="K56" s="10" t="n"/>
      <c r="L56" s="10" t="n"/>
      <c r="M56" s="33" t="n"/>
      <c r="N56" s="10" t="n"/>
      <c r="O56" s="32" t="n"/>
      <c r="P56" s="16">
        <f>IF(A56="","",IF(L56="已取消","已取消",IF(L56="已完成",IF(OR(M56="",N56=""),"补完成证据","已完成"),IF(J56="","待定日期",IF(NOT(ISNUMBER(J56)),"检查日期",IF(J56&lt;'使用说明'!$B$5,"已逾期",IF(J56='使用说明'!$B$5,"今日跟进","待跟进")))))))</f>
        <v/>
      </c>
      <c r="Q56" s="16">
        <f>IF(A56="","",IF(OR(COUNTIF($A$8:$A$207,A56)&lt;&gt;1,COUNTIF('公司'!$A$8:$A$207,B56)&lt;&gt;1,AND(D56&lt;&gt;"",COUNTIF('联系人'!$A$8:$A$207,D56)&lt;&gt;1),AND(E56&lt;&gt;"",COUNTIF('用胶项目'!$A$8:$A$207,E56)&lt;&gt;1),AND(F56&lt;&gt;"",COUNTIF('样品测试'!$A$8:$A$207,F56)&lt;&gt;1),AND(O56&lt;&gt;"",COUNTIF('沟通记录'!$A$8:$A$207,O56)&lt;&gt;1)),"检查编号或关联","正常"))</f>
        <v/>
      </c>
    </row>
    <row r="57" ht="34" customHeight="1">
      <c r="A57" s="32" t="n"/>
      <c r="B57" s="32" t="n"/>
      <c r="C57" s="16">
        <f>IF(B57="","",IF(COUNTIF('公司'!$A$8:$A$207,B57)&lt;&gt;1,"编号缺失或重复",INDEX('公司'!$B$8:$B$207,MATCH(B57,'公司'!$A$8:$A$207,0))))</f>
        <v/>
      </c>
      <c r="D57" s="32" t="n"/>
      <c r="E57" s="32" t="n"/>
      <c r="F57" s="32" t="n"/>
      <c r="G57" s="10" t="n"/>
      <c r="H57" s="10" t="n"/>
      <c r="I57" s="10" t="n"/>
      <c r="J57" s="33" t="n"/>
      <c r="K57" s="10" t="n"/>
      <c r="L57" s="10" t="n"/>
      <c r="M57" s="33" t="n"/>
      <c r="N57" s="10" t="n"/>
      <c r="O57" s="32" t="n"/>
      <c r="P57" s="16">
        <f>IF(A57="","",IF(L57="已取消","已取消",IF(L57="已完成",IF(OR(M57="",N57=""),"补完成证据","已完成"),IF(J57="","待定日期",IF(NOT(ISNUMBER(J57)),"检查日期",IF(J57&lt;'使用说明'!$B$5,"已逾期",IF(J57='使用说明'!$B$5,"今日跟进","待跟进")))))))</f>
        <v/>
      </c>
      <c r="Q57" s="16">
        <f>IF(A57="","",IF(OR(COUNTIF($A$8:$A$207,A57)&lt;&gt;1,COUNTIF('公司'!$A$8:$A$207,B57)&lt;&gt;1,AND(D57&lt;&gt;"",COUNTIF('联系人'!$A$8:$A$207,D57)&lt;&gt;1),AND(E57&lt;&gt;"",COUNTIF('用胶项目'!$A$8:$A$207,E57)&lt;&gt;1),AND(F57&lt;&gt;"",COUNTIF('样品测试'!$A$8:$A$207,F57)&lt;&gt;1),AND(O57&lt;&gt;"",COUNTIF('沟通记录'!$A$8:$A$207,O57)&lt;&gt;1)),"检查编号或关联","正常"))</f>
        <v/>
      </c>
    </row>
    <row r="58" ht="34" customHeight="1">
      <c r="A58" s="32" t="n"/>
      <c r="B58" s="32" t="n"/>
      <c r="C58" s="16">
        <f>IF(B58="","",IF(COUNTIF('公司'!$A$8:$A$207,B58)&lt;&gt;1,"编号缺失或重复",INDEX('公司'!$B$8:$B$207,MATCH(B58,'公司'!$A$8:$A$207,0))))</f>
        <v/>
      </c>
      <c r="D58" s="32" t="n"/>
      <c r="E58" s="32" t="n"/>
      <c r="F58" s="32" t="n"/>
      <c r="G58" s="10" t="n"/>
      <c r="H58" s="10" t="n"/>
      <c r="I58" s="10" t="n"/>
      <c r="J58" s="33" t="n"/>
      <c r="K58" s="10" t="n"/>
      <c r="L58" s="10" t="n"/>
      <c r="M58" s="33" t="n"/>
      <c r="N58" s="10" t="n"/>
      <c r="O58" s="32" t="n"/>
      <c r="P58" s="16">
        <f>IF(A58="","",IF(L58="已取消","已取消",IF(L58="已完成",IF(OR(M58="",N58=""),"补完成证据","已完成"),IF(J58="","待定日期",IF(NOT(ISNUMBER(J58)),"检查日期",IF(J58&lt;'使用说明'!$B$5,"已逾期",IF(J58='使用说明'!$B$5,"今日跟进","待跟进")))))))</f>
        <v/>
      </c>
      <c r="Q58" s="16">
        <f>IF(A58="","",IF(OR(COUNTIF($A$8:$A$207,A58)&lt;&gt;1,COUNTIF('公司'!$A$8:$A$207,B58)&lt;&gt;1,AND(D58&lt;&gt;"",COUNTIF('联系人'!$A$8:$A$207,D58)&lt;&gt;1),AND(E58&lt;&gt;"",COUNTIF('用胶项目'!$A$8:$A$207,E58)&lt;&gt;1),AND(F58&lt;&gt;"",COUNTIF('样品测试'!$A$8:$A$207,F58)&lt;&gt;1),AND(O58&lt;&gt;"",COUNTIF('沟通记录'!$A$8:$A$207,O58)&lt;&gt;1)),"检查编号或关联","正常"))</f>
        <v/>
      </c>
    </row>
    <row r="59" ht="34" customHeight="1">
      <c r="A59" s="32" t="n"/>
      <c r="B59" s="32" t="n"/>
      <c r="C59" s="16">
        <f>IF(B59="","",IF(COUNTIF('公司'!$A$8:$A$207,B59)&lt;&gt;1,"编号缺失或重复",INDEX('公司'!$B$8:$B$207,MATCH(B59,'公司'!$A$8:$A$207,0))))</f>
        <v/>
      </c>
      <c r="D59" s="32" t="n"/>
      <c r="E59" s="32" t="n"/>
      <c r="F59" s="32" t="n"/>
      <c r="G59" s="10" t="n"/>
      <c r="H59" s="10" t="n"/>
      <c r="I59" s="10" t="n"/>
      <c r="J59" s="33" t="n"/>
      <c r="K59" s="10" t="n"/>
      <c r="L59" s="10" t="n"/>
      <c r="M59" s="33" t="n"/>
      <c r="N59" s="10" t="n"/>
      <c r="O59" s="32" t="n"/>
      <c r="P59" s="16">
        <f>IF(A59="","",IF(L59="已取消","已取消",IF(L59="已完成",IF(OR(M59="",N59=""),"补完成证据","已完成"),IF(J59="","待定日期",IF(NOT(ISNUMBER(J59)),"检查日期",IF(J59&lt;'使用说明'!$B$5,"已逾期",IF(J59='使用说明'!$B$5,"今日跟进","待跟进")))))))</f>
        <v/>
      </c>
      <c r="Q59" s="16">
        <f>IF(A59="","",IF(OR(COUNTIF($A$8:$A$207,A59)&lt;&gt;1,COUNTIF('公司'!$A$8:$A$207,B59)&lt;&gt;1,AND(D59&lt;&gt;"",COUNTIF('联系人'!$A$8:$A$207,D59)&lt;&gt;1),AND(E59&lt;&gt;"",COUNTIF('用胶项目'!$A$8:$A$207,E59)&lt;&gt;1),AND(F59&lt;&gt;"",COUNTIF('样品测试'!$A$8:$A$207,F59)&lt;&gt;1),AND(O59&lt;&gt;"",COUNTIF('沟通记录'!$A$8:$A$207,O59)&lt;&gt;1)),"检查编号或关联","正常"))</f>
        <v/>
      </c>
    </row>
    <row r="60" ht="34" customHeight="1">
      <c r="A60" s="32" t="n"/>
      <c r="B60" s="32" t="n"/>
      <c r="C60" s="16">
        <f>IF(B60="","",IF(COUNTIF('公司'!$A$8:$A$207,B60)&lt;&gt;1,"编号缺失或重复",INDEX('公司'!$B$8:$B$207,MATCH(B60,'公司'!$A$8:$A$207,0))))</f>
        <v/>
      </c>
      <c r="D60" s="32" t="n"/>
      <c r="E60" s="32" t="n"/>
      <c r="F60" s="32" t="n"/>
      <c r="G60" s="10" t="n"/>
      <c r="H60" s="10" t="n"/>
      <c r="I60" s="10" t="n"/>
      <c r="J60" s="33" t="n"/>
      <c r="K60" s="10" t="n"/>
      <c r="L60" s="10" t="n"/>
      <c r="M60" s="33" t="n"/>
      <c r="N60" s="10" t="n"/>
      <c r="O60" s="32" t="n"/>
      <c r="P60" s="16">
        <f>IF(A60="","",IF(L60="已取消","已取消",IF(L60="已完成",IF(OR(M60="",N60=""),"补完成证据","已完成"),IF(J60="","待定日期",IF(NOT(ISNUMBER(J60)),"检查日期",IF(J60&lt;'使用说明'!$B$5,"已逾期",IF(J60='使用说明'!$B$5,"今日跟进","待跟进")))))))</f>
        <v/>
      </c>
      <c r="Q60" s="16">
        <f>IF(A60="","",IF(OR(COUNTIF($A$8:$A$207,A60)&lt;&gt;1,COUNTIF('公司'!$A$8:$A$207,B60)&lt;&gt;1,AND(D60&lt;&gt;"",COUNTIF('联系人'!$A$8:$A$207,D60)&lt;&gt;1),AND(E60&lt;&gt;"",COUNTIF('用胶项目'!$A$8:$A$207,E60)&lt;&gt;1),AND(F60&lt;&gt;"",COUNTIF('样品测试'!$A$8:$A$207,F60)&lt;&gt;1),AND(O60&lt;&gt;"",COUNTIF('沟通记录'!$A$8:$A$207,O60)&lt;&gt;1)),"检查编号或关联","正常"))</f>
        <v/>
      </c>
    </row>
    <row r="61" ht="34" customHeight="1">
      <c r="A61" s="32" t="n"/>
      <c r="B61" s="32" t="n"/>
      <c r="C61" s="16">
        <f>IF(B61="","",IF(COUNTIF('公司'!$A$8:$A$207,B61)&lt;&gt;1,"编号缺失或重复",INDEX('公司'!$B$8:$B$207,MATCH(B61,'公司'!$A$8:$A$207,0))))</f>
        <v/>
      </c>
      <c r="D61" s="32" t="n"/>
      <c r="E61" s="32" t="n"/>
      <c r="F61" s="32" t="n"/>
      <c r="G61" s="10" t="n"/>
      <c r="H61" s="10" t="n"/>
      <c r="I61" s="10" t="n"/>
      <c r="J61" s="33" t="n"/>
      <c r="K61" s="10" t="n"/>
      <c r="L61" s="10" t="n"/>
      <c r="M61" s="33" t="n"/>
      <c r="N61" s="10" t="n"/>
      <c r="O61" s="32" t="n"/>
      <c r="P61" s="16">
        <f>IF(A61="","",IF(L61="已取消","已取消",IF(L61="已完成",IF(OR(M61="",N61=""),"补完成证据","已完成"),IF(J61="","待定日期",IF(NOT(ISNUMBER(J61)),"检查日期",IF(J61&lt;'使用说明'!$B$5,"已逾期",IF(J61='使用说明'!$B$5,"今日跟进","待跟进")))))))</f>
        <v/>
      </c>
      <c r="Q61" s="16">
        <f>IF(A61="","",IF(OR(COUNTIF($A$8:$A$207,A61)&lt;&gt;1,COUNTIF('公司'!$A$8:$A$207,B61)&lt;&gt;1,AND(D61&lt;&gt;"",COUNTIF('联系人'!$A$8:$A$207,D61)&lt;&gt;1),AND(E61&lt;&gt;"",COUNTIF('用胶项目'!$A$8:$A$207,E61)&lt;&gt;1),AND(F61&lt;&gt;"",COUNTIF('样品测试'!$A$8:$A$207,F61)&lt;&gt;1),AND(O61&lt;&gt;"",COUNTIF('沟通记录'!$A$8:$A$207,O61)&lt;&gt;1)),"检查编号或关联","正常"))</f>
        <v/>
      </c>
    </row>
    <row r="62" ht="34" customHeight="1">
      <c r="A62" s="32" t="n"/>
      <c r="B62" s="32" t="n"/>
      <c r="C62" s="16">
        <f>IF(B62="","",IF(COUNTIF('公司'!$A$8:$A$207,B62)&lt;&gt;1,"编号缺失或重复",INDEX('公司'!$B$8:$B$207,MATCH(B62,'公司'!$A$8:$A$207,0))))</f>
        <v/>
      </c>
      <c r="D62" s="32" t="n"/>
      <c r="E62" s="32" t="n"/>
      <c r="F62" s="32" t="n"/>
      <c r="G62" s="10" t="n"/>
      <c r="H62" s="10" t="n"/>
      <c r="I62" s="10" t="n"/>
      <c r="J62" s="33" t="n"/>
      <c r="K62" s="10" t="n"/>
      <c r="L62" s="10" t="n"/>
      <c r="M62" s="33" t="n"/>
      <c r="N62" s="10" t="n"/>
      <c r="O62" s="32" t="n"/>
      <c r="P62" s="16">
        <f>IF(A62="","",IF(L62="已取消","已取消",IF(L62="已完成",IF(OR(M62="",N62=""),"补完成证据","已完成"),IF(J62="","待定日期",IF(NOT(ISNUMBER(J62)),"检查日期",IF(J62&lt;'使用说明'!$B$5,"已逾期",IF(J62='使用说明'!$B$5,"今日跟进","待跟进")))))))</f>
        <v/>
      </c>
      <c r="Q62" s="16">
        <f>IF(A62="","",IF(OR(COUNTIF($A$8:$A$207,A62)&lt;&gt;1,COUNTIF('公司'!$A$8:$A$207,B62)&lt;&gt;1,AND(D62&lt;&gt;"",COUNTIF('联系人'!$A$8:$A$207,D62)&lt;&gt;1),AND(E62&lt;&gt;"",COUNTIF('用胶项目'!$A$8:$A$207,E62)&lt;&gt;1),AND(F62&lt;&gt;"",COUNTIF('样品测试'!$A$8:$A$207,F62)&lt;&gt;1),AND(O62&lt;&gt;"",COUNTIF('沟通记录'!$A$8:$A$207,O62)&lt;&gt;1)),"检查编号或关联","正常"))</f>
        <v/>
      </c>
    </row>
    <row r="63" ht="34" customHeight="1">
      <c r="A63" s="32" t="n"/>
      <c r="B63" s="32" t="n"/>
      <c r="C63" s="16">
        <f>IF(B63="","",IF(COUNTIF('公司'!$A$8:$A$207,B63)&lt;&gt;1,"编号缺失或重复",INDEX('公司'!$B$8:$B$207,MATCH(B63,'公司'!$A$8:$A$207,0))))</f>
        <v/>
      </c>
      <c r="D63" s="32" t="n"/>
      <c r="E63" s="32" t="n"/>
      <c r="F63" s="32" t="n"/>
      <c r="G63" s="10" t="n"/>
      <c r="H63" s="10" t="n"/>
      <c r="I63" s="10" t="n"/>
      <c r="J63" s="33" t="n"/>
      <c r="K63" s="10" t="n"/>
      <c r="L63" s="10" t="n"/>
      <c r="M63" s="33" t="n"/>
      <c r="N63" s="10" t="n"/>
      <c r="O63" s="32" t="n"/>
      <c r="P63" s="16">
        <f>IF(A63="","",IF(L63="已取消","已取消",IF(L63="已完成",IF(OR(M63="",N63=""),"补完成证据","已完成"),IF(J63="","待定日期",IF(NOT(ISNUMBER(J63)),"检查日期",IF(J63&lt;'使用说明'!$B$5,"已逾期",IF(J63='使用说明'!$B$5,"今日跟进","待跟进")))))))</f>
        <v/>
      </c>
      <c r="Q63" s="16">
        <f>IF(A63="","",IF(OR(COUNTIF($A$8:$A$207,A63)&lt;&gt;1,COUNTIF('公司'!$A$8:$A$207,B63)&lt;&gt;1,AND(D63&lt;&gt;"",COUNTIF('联系人'!$A$8:$A$207,D63)&lt;&gt;1),AND(E63&lt;&gt;"",COUNTIF('用胶项目'!$A$8:$A$207,E63)&lt;&gt;1),AND(F63&lt;&gt;"",COUNTIF('样品测试'!$A$8:$A$207,F63)&lt;&gt;1),AND(O63&lt;&gt;"",COUNTIF('沟通记录'!$A$8:$A$207,O63)&lt;&gt;1)),"检查编号或关联","正常"))</f>
        <v/>
      </c>
    </row>
    <row r="64" ht="34" customHeight="1">
      <c r="A64" s="32" t="n"/>
      <c r="B64" s="32" t="n"/>
      <c r="C64" s="16">
        <f>IF(B64="","",IF(COUNTIF('公司'!$A$8:$A$207,B64)&lt;&gt;1,"编号缺失或重复",INDEX('公司'!$B$8:$B$207,MATCH(B64,'公司'!$A$8:$A$207,0))))</f>
        <v/>
      </c>
      <c r="D64" s="32" t="n"/>
      <c r="E64" s="32" t="n"/>
      <c r="F64" s="32" t="n"/>
      <c r="G64" s="10" t="n"/>
      <c r="H64" s="10" t="n"/>
      <c r="I64" s="10" t="n"/>
      <c r="J64" s="33" t="n"/>
      <c r="K64" s="10" t="n"/>
      <c r="L64" s="10" t="n"/>
      <c r="M64" s="33" t="n"/>
      <c r="N64" s="10" t="n"/>
      <c r="O64" s="32" t="n"/>
      <c r="P64" s="16">
        <f>IF(A64="","",IF(L64="已取消","已取消",IF(L64="已完成",IF(OR(M64="",N64=""),"补完成证据","已完成"),IF(J64="","待定日期",IF(NOT(ISNUMBER(J64)),"检查日期",IF(J64&lt;'使用说明'!$B$5,"已逾期",IF(J64='使用说明'!$B$5,"今日跟进","待跟进")))))))</f>
        <v/>
      </c>
      <c r="Q64" s="16">
        <f>IF(A64="","",IF(OR(COUNTIF($A$8:$A$207,A64)&lt;&gt;1,COUNTIF('公司'!$A$8:$A$207,B64)&lt;&gt;1,AND(D64&lt;&gt;"",COUNTIF('联系人'!$A$8:$A$207,D64)&lt;&gt;1),AND(E64&lt;&gt;"",COUNTIF('用胶项目'!$A$8:$A$207,E64)&lt;&gt;1),AND(F64&lt;&gt;"",COUNTIF('样品测试'!$A$8:$A$207,F64)&lt;&gt;1),AND(O64&lt;&gt;"",COUNTIF('沟通记录'!$A$8:$A$207,O64)&lt;&gt;1)),"检查编号或关联","正常"))</f>
        <v/>
      </c>
    </row>
    <row r="65" ht="34" customHeight="1">
      <c r="A65" s="32" t="n"/>
      <c r="B65" s="32" t="n"/>
      <c r="C65" s="16">
        <f>IF(B65="","",IF(COUNTIF('公司'!$A$8:$A$207,B65)&lt;&gt;1,"编号缺失或重复",INDEX('公司'!$B$8:$B$207,MATCH(B65,'公司'!$A$8:$A$207,0))))</f>
        <v/>
      </c>
      <c r="D65" s="32" t="n"/>
      <c r="E65" s="32" t="n"/>
      <c r="F65" s="32" t="n"/>
      <c r="G65" s="10" t="n"/>
      <c r="H65" s="10" t="n"/>
      <c r="I65" s="10" t="n"/>
      <c r="J65" s="33" t="n"/>
      <c r="K65" s="10" t="n"/>
      <c r="L65" s="10" t="n"/>
      <c r="M65" s="33" t="n"/>
      <c r="N65" s="10" t="n"/>
      <c r="O65" s="32" t="n"/>
      <c r="P65" s="16">
        <f>IF(A65="","",IF(L65="已取消","已取消",IF(L65="已完成",IF(OR(M65="",N65=""),"补完成证据","已完成"),IF(J65="","待定日期",IF(NOT(ISNUMBER(J65)),"检查日期",IF(J65&lt;'使用说明'!$B$5,"已逾期",IF(J65='使用说明'!$B$5,"今日跟进","待跟进")))))))</f>
        <v/>
      </c>
      <c r="Q65" s="16">
        <f>IF(A65="","",IF(OR(COUNTIF($A$8:$A$207,A65)&lt;&gt;1,COUNTIF('公司'!$A$8:$A$207,B65)&lt;&gt;1,AND(D65&lt;&gt;"",COUNTIF('联系人'!$A$8:$A$207,D65)&lt;&gt;1),AND(E65&lt;&gt;"",COUNTIF('用胶项目'!$A$8:$A$207,E65)&lt;&gt;1),AND(F65&lt;&gt;"",COUNTIF('样品测试'!$A$8:$A$207,F65)&lt;&gt;1),AND(O65&lt;&gt;"",COUNTIF('沟通记录'!$A$8:$A$207,O65)&lt;&gt;1)),"检查编号或关联","正常"))</f>
        <v/>
      </c>
    </row>
    <row r="66" ht="34" customHeight="1">
      <c r="A66" s="32" t="n"/>
      <c r="B66" s="32" t="n"/>
      <c r="C66" s="16">
        <f>IF(B66="","",IF(COUNTIF('公司'!$A$8:$A$207,B66)&lt;&gt;1,"编号缺失或重复",INDEX('公司'!$B$8:$B$207,MATCH(B66,'公司'!$A$8:$A$207,0))))</f>
        <v/>
      </c>
      <c r="D66" s="32" t="n"/>
      <c r="E66" s="32" t="n"/>
      <c r="F66" s="32" t="n"/>
      <c r="G66" s="10" t="n"/>
      <c r="H66" s="10" t="n"/>
      <c r="I66" s="10" t="n"/>
      <c r="J66" s="33" t="n"/>
      <c r="K66" s="10" t="n"/>
      <c r="L66" s="10" t="n"/>
      <c r="M66" s="33" t="n"/>
      <c r="N66" s="10" t="n"/>
      <c r="O66" s="32" t="n"/>
      <c r="P66" s="16">
        <f>IF(A66="","",IF(L66="已取消","已取消",IF(L66="已完成",IF(OR(M66="",N66=""),"补完成证据","已完成"),IF(J66="","待定日期",IF(NOT(ISNUMBER(J66)),"检查日期",IF(J66&lt;'使用说明'!$B$5,"已逾期",IF(J66='使用说明'!$B$5,"今日跟进","待跟进")))))))</f>
        <v/>
      </c>
      <c r="Q66" s="16">
        <f>IF(A66="","",IF(OR(COUNTIF($A$8:$A$207,A66)&lt;&gt;1,COUNTIF('公司'!$A$8:$A$207,B66)&lt;&gt;1,AND(D66&lt;&gt;"",COUNTIF('联系人'!$A$8:$A$207,D66)&lt;&gt;1),AND(E66&lt;&gt;"",COUNTIF('用胶项目'!$A$8:$A$207,E66)&lt;&gt;1),AND(F66&lt;&gt;"",COUNTIF('样品测试'!$A$8:$A$207,F66)&lt;&gt;1),AND(O66&lt;&gt;"",COUNTIF('沟通记录'!$A$8:$A$207,O66)&lt;&gt;1)),"检查编号或关联","正常"))</f>
        <v/>
      </c>
    </row>
    <row r="67" ht="34" customHeight="1">
      <c r="A67" s="32" t="n"/>
      <c r="B67" s="32" t="n"/>
      <c r="C67" s="16">
        <f>IF(B67="","",IF(COUNTIF('公司'!$A$8:$A$207,B67)&lt;&gt;1,"编号缺失或重复",INDEX('公司'!$B$8:$B$207,MATCH(B67,'公司'!$A$8:$A$207,0))))</f>
        <v/>
      </c>
      <c r="D67" s="32" t="n"/>
      <c r="E67" s="32" t="n"/>
      <c r="F67" s="32" t="n"/>
      <c r="G67" s="10" t="n"/>
      <c r="H67" s="10" t="n"/>
      <c r="I67" s="10" t="n"/>
      <c r="J67" s="33" t="n"/>
      <c r="K67" s="10" t="n"/>
      <c r="L67" s="10" t="n"/>
      <c r="M67" s="33" t="n"/>
      <c r="N67" s="10" t="n"/>
      <c r="O67" s="32" t="n"/>
      <c r="P67" s="16">
        <f>IF(A67="","",IF(L67="已取消","已取消",IF(L67="已完成",IF(OR(M67="",N67=""),"补完成证据","已完成"),IF(J67="","待定日期",IF(NOT(ISNUMBER(J67)),"检查日期",IF(J67&lt;'使用说明'!$B$5,"已逾期",IF(J67='使用说明'!$B$5,"今日跟进","待跟进")))))))</f>
        <v/>
      </c>
      <c r="Q67" s="16">
        <f>IF(A67="","",IF(OR(COUNTIF($A$8:$A$207,A67)&lt;&gt;1,COUNTIF('公司'!$A$8:$A$207,B67)&lt;&gt;1,AND(D67&lt;&gt;"",COUNTIF('联系人'!$A$8:$A$207,D67)&lt;&gt;1),AND(E67&lt;&gt;"",COUNTIF('用胶项目'!$A$8:$A$207,E67)&lt;&gt;1),AND(F67&lt;&gt;"",COUNTIF('样品测试'!$A$8:$A$207,F67)&lt;&gt;1),AND(O67&lt;&gt;"",COUNTIF('沟通记录'!$A$8:$A$207,O67)&lt;&gt;1)),"检查编号或关联","正常"))</f>
        <v/>
      </c>
    </row>
    <row r="68" ht="34" customHeight="1">
      <c r="A68" s="32" t="n"/>
      <c r="B68" s="32" t="n"/>
      <c r="C68" s="16">
        <f>IF(B68="","",IF(COUNTIF('公司'!$A$8:$A$207,B68)&lt;&gt;1,"编号缺失或重复",INDEX('公司'!$B$8:$B$207,MATCH(B68,'公司'!$A$8:$A$207,0))))</f>
        <v/>
      </c>
      <c r="D68" s="32" t="n"/>
      <c r="E68" s="32" t="n"/>
      <c r="F68" s="32" t="n"/>
      <c r="G68" s="10" t="n"/>
      <c r="H68" s="10" t="n"/>
      <c r="I68" s="10" t="n"/>
      <c r="J68" s="33" t="n"/>
      <c r="K68" s="10" t="n"/>
      <c r="L68" s="10" t="n"/>
      <c r="M68" s="33" t="n"/>
      <c r="N68" s="10" t="n"/>
      <c r="O68" s="32" t="n"/>
      <c r="P68" s="16">
        <f>IF(A68="","",IF(L68="已取消","已取消",IF(L68="已完成",IF(OR(M68="",N68=""),"补完成证据","已完成"),IF(J68="","待定日期",IF(NOT(ISNUMBER(J68)),"检查日期",IF(J68&lt;'使用说明'!$B$5,"已逾期",IF(J68='使用说明'!$B$5,"今日跟进","待跟进")))))))</f>
        <v/>
      </c>
      <c r="Q68" s="16">
        <f>IF(A68="","",IF(OR(COUNTIF($A$8:$A$207,A68)&lt;&gt;1,COUNTIF('公司'!$A$8:$A$207,B68)&lt;&gt;1,AND(D68&lt;&gt;"",COUNTIF('联系人'!$A$8:$A$207,D68)&lt;&gt;1),AND(E68&lt;&gt;"",COUNTIF('用胶项目'!$A$8:$A$207,E68)&lt;&gt;1),AND(F68&lt;&gt;"",COUNTIF('样品测试'!$A$8:$A$207,F68)&lt;&gt;1),AND(O68&lt;&gt;"",COUNTIF('沟通记录'!$A$8:$A$207,O68)&lt;&gt;1)),"检查编号或关联","正常"))</f>
        <v/>
      </c>
    </row>
    <row r="69" ht="34" customHeight="1">
      <c r="A69" s="32" t="n"/>
      <c r="B69" s="32" t="n"/>
      <c r="C69" s="16">
        <f>IF(B69="","",IF(COUNTIF('公司'!$A$8:$A$207,B69)&lt;&gt;1,"编号缺失或重复",INDEX('公司'!$B$8:$B$207,MATCH(B69,'公司'!$A$8:$A$207,0))))</f>
        <v/>
      </c>
      <c r="D69" s="32" t="n"/>
      <c r="E69" s="32" t="n"/>
      <c r="F69" s="32" t="n"/>
      <c r="G69" s="10" t="n"/>
      <c r="H69" s="10" t="n"/>
      <c r="I69" s="10" t="n"/>
      <c r="J69" s="33" t="n"/>
      <c r="K69" s="10" t="n"/>
      <c r="L69" s="10" t="n"/>
      <c r="M69" s="33" t="n"/>
      <c r="N69" s="10" t="n"/>
      <c r="O69" s="32" t="n"/>
      <c r="P69" s="16">
        <f>IF(A69="","",IF(L69="已取消","已取消",IF(L69="已完成",IF(OR(M69="",N69=""),"补完成证据","已完成"),IF(J69="","待定日期",IF(NOT(ISNUMBER(J69)),"检查日期",IF(J69&lt;'使用说明'!$B$5,"已逾期",IF(J69='使用说明'!$B$5,"今日跟进","待跟进")))))))</f>
        <v/>
      </c>
      <c r="Q69" s="16">
        <f>IF(A69="","",IF(OR(COUNTIF($A$8:$A$207,A69)&lt;&gt;1,COUNTIF('公司'!$A$8:$A$207,B69)&lt;&gt;1,AND(D69&lt;&gt;"",COUNTIF('联系人'!$A$8:$A$207,D69)&lt;&gt;1),AND(E69&lt;&gt;"",COUNTIF('用胶项目'!$A$8:$A$207,E69)&lt;&gt;1),AND(F69&lt;&gt;"",COUNTIF('样品测试'!$A$8:$A$207,F69)&lt;&gt;1),AND(O69&lt;&gt;"",COUNTIF('沟通记录'!$A$8:$A$207,O69)&lt;&gt;1)),"检查编号或关联","正常"))</f>
        <v/>
      </c>
    </row>
    <row r="70" ht="34" customHeight="1">
      <c r="A70" s="32" t="n"/>
      <c r="B70" s="32" t="n"/>
      <c r="C70" s="16">
        <f>IF(B70="","",IF(COUNTIF('公司'!$A$8:$A$207,B70)&lt;&gt;1,"编号缺失或重复",INDEX('公司'!$B$8:$B$207,MATCH(B70,'公司'!$A$8:$A$207,0))))</f>
        <v/>
      </c>
      <c r="D70" s="32" t="n"/>
      <c r="E70" s="32" t="n"/>
      <c r="F70" s="32" t="n"/>
      <c r="G70" s="10" t="n"/>
      <c r="H70" s="10" t="n"/>
      <c r="I70" s="10" t="n"/>
      <c r="J70" s="33" t="n"/>
      <c r="K70" s="10" t="n"/>
      <c r="L70" s="10" t="n"/>
      <c r="M70" s="33" t="n"/>
      <c r="N70" s="10" t="n"/>
      <c r="O70" s="32" t="n"/>
      <c r="P70" s="16">
        <f>IF(A70="","",IF(L70="已取消","已取消",IF(L70="已完成",IF(OR(M70="",N70=""),"补完成证据","已完成"),IF(J70="","待定日期",IF(NOT(ISNUMBER(J70)),"检查日期",IF(J70&lt;'使用说明'!$B$5,"已逾期",IF(J70='使用说明'!$B$5,"今日跟进","待跟进")))))))</f>
        <v/>
      </c>
      <c r="Q70" s="16">
        <f>IF(A70="","",IF(OR(COUNTIF($A$8:$A$207,A70)&lt;&gt;1,COUNTIF('公司'!$A$8:$A$207,B70)&lt;&gt;1,AND(D70&lt;&gt;"",COUNTIF('联系人'!$A$8:$A$207,D70)&lt;&gt;1),AND(E70&lt;&gt;"",COUNTIF('用胶项目'!$A$8:$A$207,E70)&lt;&gt;1),AND(F70&lt;&gt;"",COUNTIF('样品测试'!$A$8:$A$207,F70)&lt;&gt;1),AND(O70&lt;&gt;"",COUNTIF('沟通记录'!$A$8:$A$207,O70)&lt;&gt;1)),"检查编号或关联","正常"))</f>
        <v/>
      </c>
    </row>
    <row r="71" ht="34" customHeight="1">
      <c r="A71" s="32" t="n"/>
      <c r="B71" s="32" t="n"/>
      <c r="C71" s="16">
        <f>IF(B71="","",IF(COUNTIF('公司'!$A$8:$A$207,B71)&lt;&gt;1,"编号缺失或重复",INDEX('公司'!$B$8:$B$207,MATCH(B71,'公司'!$A$8:$A$207,0))))</f>
        <v/>
      </c>
      <c r="D71" s="32" t="n"/>
      <c r="E71" s="32" t="n"/>
      <c r="F71" s="32" t="n"/>
      <c r="G71" s="10" t="n"/>
      <c r="H71" s="10" t="n"/>
      <c r="I71" s="10" t="n"/>
      <c r="J71" s="33" t="n"/>
      <c r="K71" s="10" t="n"/>
      <c r="L71" s="10" t="n"/>
      <c r="M71" s="33" t="n"/>
      <c r="N71" s="10" t="n"/>
      <c r="O71" s="32" t="n"/>
      <c r="P71" s="16">
        <f>IF(A71="","",IF(L71="已取消","已取消",IF(L71="已完成",IF(OR(M71="",N71=""),"补完成证据","已完成"),IF(J71="","待定日期",IF(NOT(ISNUMBER(J71)),"检查日期",IF(J71&lt;'使用说明'!$B$5,"已逾期",IF(J71='使用说明'!$B$5,"今日跟进","待跟进")))))))</f>
        <v/>
      </c>
      <c r="Q71" s="16">
        <f>IF(A71="","",IF(OR(COUNTIF($A$8:$A$207,A71)&lt;&gt;1,COUNTIF('公司'!$A$8:$A$207,B71)&lt;&gt;1,AND(D71&lt;&gt;"",COUNTIF('联系人'!$A$8:$A$207,D71)&lt;&gt;1),AND(E71&lt;&gt;"",COUNTIF('用胶项目'!$A$8:$A$207,E71)&lt;&gt;1),AND(F71&lt;&gt;"",COUNTIF('样品测试'!$A$8:$A$207,F71)&lt;&gt;1),AND(O71&lt;&gt;"",COUNTIF('沟通记录'!$A$8:$A$207,O71)&lt;&gt;1)),"检查编号或关联","正常"))</f>
        <v/>
      </c>
    </row>
    <row r="72" ht="34" customHeight="1">
      <c r="A72" s="32" t="n"/>
      <c r="B72" s="32" t="n"/>
      <c r="C72" s="16">
        <f>IF(B72="","",IF(COUNTIF('公司'!$A$8:$A$207,B72)&lt;&gt;1,"编号缺失或重复",INDEX('公司'!$B$8:$B$207,MATCH(B72,'公司'!$A$8:$A$207,0))))</f>
        <v/>
      </c>
      <c r="D72" s="32" t="n"/>
      <c r="E72" s="32" t="n"/>
      <c r="F72" s="32" t="n"/>
      <c r="G72" s="10" t="n"/>
      <c r="H72" s="10" t="n"/>
      <c r="I72" s="10" t="n"/>
      <c r="J72" s="33" t="n"/>
      <c r="K72" s="10" t="n"/>
      <c r="L72" s="10" t="n"/>
      <c r="M72" s="33" t="n"/>
      <c r="N72" s="10" t="n"/>
      <c r="O72" s="32" t="n"/>
      <c r="P72" s="16">
        <f>IF(A72="","",IF(L72="已取消","已取消",IF(L72="已完成",IF(OR(M72="",N72=""),"补完成证据","已完成"),IF(J72="","待定日期",IF(NOT(ISNUMBER(J72)),"检查日期",IF(J72&lt;'使用说明'!$B$5,"已逾期",IF(J72='使用说明'!$B$5,"今日跟进","待跟进")))))))</f>
        <v/>
      </c>
      <c r="Q72" s="16">
        <f>IF(A72="","",IF(OR(COUNTIF($A$8:$A$207,A72)&lt;&gt;1,COUNTIF('公司'!$A$8:$A$207,B72)&lt;&gt;1,AND(D72&lt;&gt;"",COUNTIF('联系人'!$A$8:$A$207,D72)&lt;&gt;1),AND(E72&lt;&gt;"",COUNTIF('用胶项目'!$A$8:$A$207,E72)&lt;&gt;1),AND(F72&lt;&gt;"",COUNTIF('样品测试'!$A$8:$A$207,F72)&lt;&gt;1),AND(O72&lt;&gt;"",COUNTIF('沟通记录'!$A$8:$A$207,O72)&lt;&gt;1)),"检查编号或关联","正常"))</f>
        <v/>
      </c>
    </row>
    <row r="73" ht="34" customHeight="1">
      <c r="A73" s="32" t="n"/>
      <c r="B73" s="32" t="n"/>
      <c r="C73" s="16">
        <f>IF(B73="","",IF(COUNTIF('公司'!$A$8:$A$207,B73)&lt;&gt;1,"编号缺失或重复",INDEX('公司'!$B$8:$B$207,MATCH(B73,'公司'!$A$8:$A$207,0))))</f>
        <v/>
      </c>
      <c r="D73" s="32" t="n"/>
      <c r="E73" s="32" t="n"/>
      <c r="F73" s="32" t="n"/>
      <c r="G73" s="10" t="n"/>
      <c r="H73" s="10" t="n"/>
      <c r="I73" s="10" t="n"/>
      <c r="J73" s="33" t="n"/>
      <c r="K73" s="10" t="n"/>
      <c r="L73" s="10" t="n"/>
      <c r="M73" s="33" t="n"/>
      <c r="N73" s="10" t="n"/>
      <c r="O73" s="32" t="n"/>
      <c r="P73" s="16">
        <f>IF(A73="","",IF(L73="已取消","已取消",IF(L73="已完成",IF(OR(M73="",N73=""),"补完成证据","已完成"),IF(J73="","待定日期",IF(NOT(ISNUMBER(J73)),"检查日期",IF(J73&lt;'使用说明'!$B$5,"已逾期",IF(J73='使用说明'!$B$5,"今日跟进","待跟进")))))))</f>
        <v/>
      </c>
      <c r="Q73" s="16">
        <f>IF(A73="","",IF(OR(COUNTIF($A$8:$A$207,A73)&lt;&gt;1,COUNTIF('公司'!$A$8:$A$207,B73)&lt;&gt;1,AND(D73&lt;&gt;"",COUNTIF('联系人'!$A$8:$A$207,D73)&lt;&gt;1),AND(E73&lt;&gt;"",COUNTIF('用胶项目'!$A$8:$A$207,E73)&lt;&gt;1),AND(F73&lt;&gt;"",COUNTIF('样品测试'!$A$8:$A$207,F73)&lt;&gt;1),AND(O73&lt;&gt;"",COUNTIF('沟通记录'!$A$8:$A$207,O73)&lt;&gt;1)),"检查编号或关联","正常"))</f>
        <v/>
      </c>
    </row>
    <row r="74" ht="34" customHeight="1">
      <c r="A74" s="32" t="n"/>
      <c r="B74" s="32" t="n"/>
      <c r="C74" s="16">
        <f>IF(B74="","",IF(COUNTIF('公司'!$A$8:$A$207,B74)&lt;&gt;1,"编号缺失或重复",INDEX('公司'!$B$8:$B$207,MATCH(B74,'公司'!$A$8:$A$207,0))))</f>
        <v/>
      </c>
      <c r="D74" s="32" t="n"/>
      <c r="E74" s="32" t="n"/>
      <c r="F74" s="32" t="n"/>
      <c r="G74" s="10" t="n"/>
      <c r="H74" s="10" t="n"/>
      <c r="I74" s="10" t="n"/>
      <c r="J74" s="33" t="n"/>
      <c r="K74" s="10" t="n"/>
      <c r="L74" s="10" t="n"/>
      <c r="M74" s="33" t="n"/>
      <c r="N74" s="10" t="n"/>
      <c r="O74" s="32" t="n"/>
      <c r="P74" s="16">
        <f>IF(A74="","",IF(L74="已取消","已取消",IF(L74="已完成",IF(OR(M74="",N74=""),"补完成证据","已完成"),IF(J74="","待定日期",IF(NOT(ISNUMBER(J74)),"检查日期",IF(J74&lt;'使用说明'!$B$5,"已逾期",IF(J74='使用说明'!$B$5,"今日跟进","待跟进")))))))</f>
        <v/>
      </c>
      <c r="Q74" s="16">
        <f>IF(A74="","",IF(OR(COUNTIF($A$8:$A$207,A74)&lt;&gt;1,COUNTIF('公司'!$A$8:$A$207,B74)&lt;&gt;1,AND(D74&lt;&gt;"",COUNTIF('联系人'!$A$8:$A$207,D74)&lt;&gt;1),AND(E74&lt;&gt;"",COUNTIF('用胶项目'!$A$8:$A$207,E74)&lt;&gt;1),AND(F74&lt;&gt;"",COUNTIF('样品测试'!$A$8:$A$207,F74)&lt;&gt;1),AND(O74&lt;&gt;"",COUNTIF('沟通记录'!$A$8:$A$207,O74)&lt;&gt;1)),"检查编号或关联","正常"))</f>
        <v/>
      </c>
    </row>
    <row r="75" ht="34" customHeight="1">
      <c r="A75" s="32" t="n"/>
      <c r="B75" s="32" t="n"/>
      <c r="C75" s="16">
        <f>IF(B75="","",IF(COUNTIF('公司'!$A$8:$A$207,B75)&lt;&gt;1,"编号缺失或重复",INDEX('公司'!$B$8:$B$207,MATCH(B75,'公司'!$A$8:$A$207,0))))</f>
        <v/>
      </c>
      <c r="D75" s="32" t="n"/>
      <c r="E75" s="32" t="n"/>
      <c r="F75" s="32" t="n"/>
      <c r="G75" s="10" t="n"/>
      <c r="H75" s="10" t="n"/>
      <c r="I75" s="10" t="n"/>
      <c r="J75" s="33" t="n"/>
      <c r="K75" s="10" t="n"/>
      <c r="L75" s="10" t="n"/>
      <c r="M75" s="33" t="n"/>
      <c r="N75" s="10" t="n"/>
      <c r="O75" s="32" t="n"/>
      <c r="P75" s="16">
        <f>IF(A75="","",IF(L75="已取消","已取消",IF(L75="已完成",IF(OR(M75="",N75=""),"补完成证据","已完成"),IF(J75="","待定日期",IF(NOT(ISNUMBER(J75)),"检查日期",IF(J75&lt;'使用说明'!$B$5,"已逾期",IF(J75='使用说明'!$B$5,"今日跟进","待跟进")))))))</f>
        <v/>
      </c>
      <c r="Q75" s="16">
        <f>IF(A75="","",IF(OR(COUNTIF($A$8:$A$207,A75)&lt;&gt;1,COUNTIF('公司'!$A$8:$A$207,B75)&lt;&gt;1,AND(D75&lt;&gt;"",COUNTIF('联系人'!$A$8:$A$207,D75)&lt;&gt;1),AND(E75&lt;&gt;"",COUNTIF('用胶项目'!$A$8:$A$207,E75)&lt;&gt;1),AND(F75&lt;&gt;"",COUNTIF('样品测试'!$A$8:$A$207,F75)&lt;&gt;1),AND(O75&lt;&gt;"",COUNTIF('沟通记录'!$A$8:$A$207,O75)&lt;&gt;1)),"检查编号或关联","正常"))</f>
        <v/>
      </c>
    </row>
    <row r="76" ht="34" customHeight="1">
      <c r="A76" s="32" t="n"/>
      <c r="B76" s="32" t="n"/>
      <c r="C76" s="16">
        <f>IF(B76="","",IF(COUNTIF('公司'!$A$8:$A$207,B76)&lt;&gt;1,"编号缺失或重复",INDEX('公司'!$B$8:$B$207,MATCH(B76,'公司'!$A$8:$A$207,0))))</f>
        <v/>
      </c>
      <c r="D76" s="32" t="n"/>
      <c r="E76" s="32" t="n"/>
      <c r="F76" s="32" t="n"/>
      <c r="G76" s="10" t="n"/>
      <c r="H76" s="10" t="n"/>
      <c r="I76" s="10" t="n"/>
      <c r="J76" s="33" t="n"/>
      <c r="K76" s="10" t="n"/>
      <c r="L76" s="10" t="n"/>
      <c r="M76" s="33" t="n"/>
      <c r="N76" s="10" t="n"/>
      <c r="O76" s="32" t="n"/>
      <c r="P76" s="16">
        <f>IF(A76="","",IF(L76="已取消","已取消",IF(L76="已完成",IF(OR(M76="",N76=""),"补完成证据","已完成"),IF(J76="","待定日期",IF(NOT(ISNUMBER(J76)),"检查日期",IF(J76&lt;'使用说明'!$B$5,"已逾期",IF(J76='使用说明'!$B$5,"今日跟进","待跟进")))))))</f>
        <v/>
      </c>
      <c r="Q76" s="16">
        <f>IF(A76="","",IF(OR(COUNTIF($A$8:$A$207,A76)&lt;&gt;1,COUNTIF('公司'!$A$8:$A$207,B76)&lt;&gt;1,AND(D76&lt;&gt;"",COUNTIF('联系人'!$A$8:$A$207,D76)&lt;&gt;1),AND(E76&lt;&gt;"",COUNTIF('用胶项目'!$A$8:$A$207,E76)&lt;&gt;1),AND(F76&lt;&gt;"",COUNTIF('样品测试'!$A$8:$A$207,F76)&lt;&gt;1),AND(O76&lt;&gt;"",COUNTIF('沟通记录'!$A$8:$A$207,O76)&lt;&gt;1)),"检查编号或关联","正常"))</f>
        <v/>
      </c>
    </row>
    <row r="77" ht="34" customHeight="1">
      <c r="A77" s="32" t="n"/>
      <c r="B77" s="32" t="n"/>
      <c r="C77" s="16">
        <f>IF(B77="","",IF(COUNTIF('公司'!$A$8:$A$207,B77)&lt;&gt;1,"编号缺失或重复",INDEX('公司'!$B$8:$B$207,MATCH(B77,'公司'!$A$8:$A$207,0))))</f>
        <v/>
      </c>
      <c r="D77" s="32" t="n"/>
      <c r="E77" s="32" t="n"/>
      <c r="F77" s="32" t="n"/>
      <c r="G77" s="10" t="n"/>
      <c r="H77" s="10" t="n"/>
      <c r="I77" s="10" t="n"/>
      <c r="J77" s="33" t="n"/>
      <c r="K77" s="10" t="n"/>
      <c r="L77" s="10" t="n"/>
      <c r="M77" s="33" t="n"/>
      <c r="N77" s="10" t="n"/>
      <c r="O77" s="32" t="n"/>
      <c r="P77" s="16">
        <f>IF(A77="","",IF(L77="已取消","已取消",IF(L77="已完成",IF(OR(M77="",N77=""),"补完成证据","已完成"),IF(J77="","待定日期",IF(NOT(ISNUMBER(J77)),"检查日期",IF(J77&lt;'使用说明'!$B$5,"已逾期",IF(J77='使用说明'!$B$5,"今日跟进","待跟进")))))))</f>
        <v/>
      </c>
      <c r="Q77" s="16">
        <f>IF(A77="","",IF(OR(COUNTIF($A$8:$A$207,A77)&lt;&gt;1,COUNTIF('公司'!$A$8:$A$207,B77)&lt;&gt;1,AND(D77&lt;&gt;"",COUNTIF('联系人'!$A$8:$A$207,D77)&lt;&gt;1),AND(E77&lt;&gt;"",COUNTIF('用胶项目'!$A$8:$A$207,E77)&lt;&gt;1),AND(F77&lt;&gt;"",COUNTIF('样品测试'!$A$8:$A$207,F77)&lt;&gt;1),AND(O77&lt;&gt;"",COUNTIF('沟通记录'!$A$8:$A$207,O77)&lt;&gt;1)),"检查编号或关联","正常"))</f>
        <v/>
      </c>
    </row>
    <row r="78" ht="34" customHeight="1">
      <c r="A78" s="32" t="n"/>
      <c r="B78" s="32" t="n"/>
      <c r="C78" s="16">
        <f>IF(B78="","",IF(COUNTIF('公司'!$A$8:$A$207,B78)&lt;&gt;1,"编号缺失或重复",INDEX('公司'!$B$8:$B$207,MATCH(B78,'公司'!$A$8:$A$207,0))))</f>
        <v/>
      </c>
      <c r="D78" s="32" t="n"/>
      <c r="E78" s="32" t="n"/>
      <c r="F78" s="32" t="n"/>
      <c r="G78" s="10" t="n"/>
      <c r="H78" s="10" t="n"/>
      <c r="I78" s="10" t="n"/>
      <c r="J78" s="33" t="n"/>
      <c r="K78" s="10" t="n"/>
      <c r="L78" s="10" t="n"/>
      <c r="M78" s="33" t="n"/>
      <c r="N78" s="10" t="n"/>
      <c r="O78" s="32" t="n"/>
      <c r="P78" s="16">
        <f>IF(A78="","",IF(L78="已取消","已取消",IF(L78="已完成",IF(OR(M78="",N78=""),"补完成证据","已完成"),IF(J78="","待定日期",IF(NOT(ISNUMBER(J78)),"检查日期",IF(J78&lt;'使用说明'!$B$5,"已逾期",IF(J78='使用说明'!$B$5,"今日跟进","待跟进")))))))</f>
        <v/>
      </c>
      <c r="Q78" s="16">
        <f>IF(A78="","",IF(OR(COUNTIF($A$8:$A$207,A78)&lt;&gt;1,COUNTIF('公司'!$A$8:$A$207,B78)&lt;&gt;1,AND(D78&lt;&gt;"",COUNTIF('联系人'!$A$8:$A$207,D78)&lt;&gt;1),AND(E78&lt;&gt;"",COUNTIF('用胶项目'!$A$8:$A$207,E78)&lt;&gt;1),AND(F78&lt;&gt;"",COUNTIF('样品测试'!$A$8:$A$207,F78)&lt;&gt;1),AND(O78&lt;&gt;"",COUNTIF('沟通记录'!$A$8:$A$207,O78)&lt;&gt;1)),"检查编号或关联","正常"))</f>
        <v/>
      </c>
    </row>
    <row r="79" ht="34" customHeight="1">
      <c r="A79" s="32" t="n"/>
      <c r="B79" s="32" t="n"/>
      <c r="C79" s="16">
        <f>IF(B79="","",IF(COUNTIF('公司'!$A$8:$A$207,B79)&lt;&gt;1,"编号缺失或重复",INDEX('公司'!$B$8:$B$207,MATCH(B79,'公司'!$A$8:$A$207,0))))</f>
        <v/>
      </c>
      <c r="D79" s="32" t="n"/>
      <c r="E79" s="32" t="n"/>
      <c r="F79" s="32" t="n"/>
      <c r="G79" s="10" t="n"/>
      <c r="H79" s="10" t="n"/>
      <c r="I79" s="10" t="n"/>
      <c r="J79" s="33" t="n"/>
      <c r="K79" s="10" t="n"/>
      <c r="L79" s="10" t="n"/>
      <c r="M79" s="33" t="n"/>
      <c r="N79" s="10" t="n"/>
      <c r="O79" s="32" t="n"/>
      <c r="P79" s="16">
        <f>IF(A79="","",IF(L79="已取消","已取消",IF(L79="已完成",IF(OR(M79="",N79=""),"补完成证据","已完成"),IF(J79="","待定日期",IF(NOT(ISNUMBER(J79)),"检查日期",IF(J79&lt;'使用说明'!$B$5,"已逾期",IF(J79='使用说明'!$B$5,"今日跟进","待跟进")))))))</f>
        <v/>
      </c>
      <c r="Q79" s="16">
        <f>IF(A79="","",IF(OR(COUNTIF($A$8:$A$207,A79)&lt;&gt;1,COUNTIF('公司'!$A$8:$A$207,B79)&lt;&gt;1,AND(D79&lt;&gt;"",COUNTIF('联系人'!$A$8:$A$207,D79)&lt;&gt;1),AND(E79&lt;&gt;"",COUNTIF('用胶项目'!$A$8:$A$207,E79)&lt;&gt;1),AND(F79&lt;&gt;"",COUNTIF('样品测试'!$A$8:$A$207,F79)&lt;&gt;1),AND(O79&lt;&gt;"",COUNTIF('沟通记录'!$A$8:$A$207,O79)&lt;&gt;1)),"检查编号或关联","正常"))</f>
        <v/>
      </c>
    </row>
    <row r="80" ht="34" customHeight="1">
      <c r="A80" s="32" t="n"/>
      <c r="B80" s="32" t="n"/>
      <c r="C80" s="16">
        <f>IF(B80="","",IF(COUNTIF('公司'!$A$8:$A$207,B80)&lt;&gt;1,"编号缺失或重复",INDEX('公司'!$B$8:$B$207,MATCH(B80,'公司'!$A$8:$A$207,0))))</f>
        <v/>
      </c>
      <c r="D80" s="32" t="n"/>
      <c r="E80" s="32" t="n"/>
      <c r="F80" s="32" t="n"/>
      <c r="G80" s="10" t="n"/>
      <c r="H80" s="10" t="n"/>
      <c r="I80" s="10" t="n"/>
      <c r="J80" s="33" t="n"/>
      <c r="K80" s="10" t="n"/>
      <c r="L80" s="10" t="n"/>
      <c r="M80" s="33" t="n"/>
      <c r="N80" s="10" t="n"/>
      <c r="O80" s="32" t="n"/>
      <c r="P80" s="16">
        <f>IF(A80="","",IF(L80="已取消","已取消",IF(L80="已完成",IF(OR(M80="",N80=""),"补完成证据","已完成"),IF(J80="","待定日期",IF(NOT(ISNUMBER(J80)),"检查日期",IF(J80&lt;'使用说明'!$B$5,"已逾期",IF(J80='使用说明'!$B$5,"今日跟进","待跟进")))))))</f>
        <v/>
      </c>
      <c r="Q80" s="16">
        <f>IF(A80="","",IF(OR(COUNTIF($A$8:$A$207,A80)&lt;&gt;1,COUNTIF('公司'!$A$8:$A$207,B80)&lt;&gt;1,AND(D80&lt;&gt;"",COUNTIF('联系人'!$A$8:$A$207,D80)&lt;&gt;1),AND(E80&lt;&gt;"",COUNTIF('用胶项目'!$A$8:$A$207,E80)&lt;&gt;1),AND(F80&lt;&gt;"",COUNTIF('样品测试'!$A$8:$A$207,F80)&lt;&gt;1),AND(O80&lt;&gt;"",COUNTIF('沟通记录'!$A$8:$A$207,O80)&lt;&gt;1)),"检查编号或关联","正常"))</f>
        <v/>
      </c>
    </row>
    <row r="81" ht="34" customHeight="1">
      <c r="A81" s="32" t="n"/>
      <c r="B81" s="32" t="n"/>
      <c r="C81" s="16">
        <f>IF(B81="","",IF(COUNTIF('公司'!$A$8:$A$207,B81)&lt;&gt;1,"编号缺失或重复",INDEX('公司'!$B$8:$B$207,MATCH(B81,'公司'!$A$8:$A$207,0))))</f>
        <v/>
      </c>
      <c r="D81" s="32" t="n"/>
      <c r="E81" s="32" t="n"/>
      <c r="F81" s="32" t="n"/>
      <c r="G81" s="10" t="n"/>
      <c r="H81" s="10" t="n"/>
      <c r="I81" s="10" t="n"/>
      <c r="J81" s="33" t="n"/>
      <c r="K81" s="10" t="n"/>
      <c r="L81" s="10" t="n"/>
      <c r="M81" s="33" t="n"/>
      <c r="N81" s="10" t="n"/>
      <c r="O81" s="32" t="n"/>
      <c r="P81" s="16">
        <f>IF(A81="","",IF(L81="已取消","已取消",IF(L81="已完成",IF(OR(M81="",N81=""),"补完成证据","已完成"),IF(J81="","待定日期",IF(NOT(ISNUMBER(J81)),"检查日期",IF(J81&lt;'使用说明'!$B$5,"已逾期",IF(J81='使用说明'!$B$5,"今日跟进","待跟进")))))))</f>
        <v/>
      </c>
      <c r="Q81" s="16">
        <f>IF(A81="","",IF(OR(COUNTIF($A$8:$A$207,A81)&lt;&gt;1,COUNTIF('公司'!$A$8:$A$207,B81)&lt;&gt;1,AND(D81&lt;&gt;"",COUNTIF('联系人'!$A$8:$A$207,D81)&lt;&gt;1),AND(E81&lt;&gt;"",COUNTIF('用胶项目'!$A$8:$A$207,E81)&lt;&gt;1),AND(F81&lt;&gt;"",COUNTIF('样品测试'!$A$8:$A$207,F81)&lt;&gt;1),AND(O81&lt;&gt;"",COUNTIF('沟通记录'!$A$8:$A$207,O81)&lt;&gt;1)),"检查编号或关联","正常"))</f>
        <v/>
      </c>
    </row>
    <row r="82" ht="34" customHeight="1">
      <c r="A82" s="32" t="n"/>
      <c r="B82" s="32" t="n"/>
      <c r="C82" s="16">
        <f>IF(B82="","",IF(COUNTIF('公司'!$A$8:$A$207,B82)&lt;&gt;1,"编号缺失或重复",INDEX('公司'!$B$8:$B$207,MATCH(B82,'公司'!$A$8:$A$207,0))))</f>
        <v/>
      </c>
      <c r="D82" s="32" t="n"/>
      <c r="E82" s="32" t="n"/>
      <c r="F82" s="32" t="n"/>
      <c r="G82" s="10" t="n"/>
      <c r="H82" s="10" t="n"/>
      <c r="I82" s="10" t="n"/>
      <c r="J82" s="33" t="n"/>
      <c r="K82" s="10" t="n"/>
      <c r="L82" s="10" t="n"/>
      <c r="M82" s="33" t="n"/>
      <c r="N82" s="10" t="n"/>
      <c r="O82" s="32" t="n"/>
      <c r="P82" s="16">
        <f>IF(A82="","",IF(L82="已取消","已取消",IF(L82="已完成",IF(OR(M82="",N82=""),"补完成证据","已完成"),IF(J82="","待定日期",IF(NOT(ISNUMBER(J82)),"检查日期",IF(J82&lt;'使用说明'!$B$5,"已逾期",IF(J82='使用说明'!$B$5,"今日跟进","待跟进")))))))</f>
        <v/>
      </c>
      <c r="Q82" s="16">
        <f>IF(A82="","",IF(OR(COUNTIF($A$8:$A$207,A82)&lt;&gt;1,COUNTIF('公司'!$A$8:$A$207,B82)&lt;&gt;1,AND(D82&lt;&gt;"",COUNTIF('联系人'!$A$8:$A$207,D82)&lt;&gt;1),AND(E82&lt;&gt;"",COUNTIF('用胶项目'!$A$8:$A$207,E82)&lt;&gt;1),AND(F82&lt;&gt;"",COUNTIF('样品测试'!$A$8:$A$207,F82)&lt;&gt;1),AND(O82&lt;&gt;"",COUNTIF('沟通记录'!$A$8:$A$207,O82)&lt;&gt;1)),"检查编号或关联","正常"))</f>
        <v/>
      </c>
    </row>
    <row r="83" ht="34" customHeight="1">
      <c r="A83" s="32" t="n"/>
      <c r="B83" s="32" t="n"/>
      <c r="C83" s="16">
        <f>IF(B83="","",IF(COUNTIF('公司'!$A$8:$A$207,B83)&lt;&gt;1,"编号缺失或重复",INDEX('公司'!$B$8:$B$207,MATCH(B83,'公司'!$A$8:$A$207,0))))</f>
        <v/>
      </c>
      <c r="D83" s="32" t="n"/>
      <c r="E83" s="32" t="n"/>
      <c r="F83" s="32" t="n"/>
      <c r="G83" s="10" t="n"/>
      <c r="H83" s="10" t="n"/>
      <c r="I83" s="10" t="n"/>
      <c r="J83" s="33" t="n"/>
      <c r="K83" s="10" t="n"/>
      <c r="L83" s="10" t="n"/>
      <c r="M83" s="33" t="n"/>
      <c r="N83" s="10" t="n"/>
      <c r="O83" s="32" t="n"/>
      <c r="P83" s="16">
        <f>IF(A83="","",IF(L83="已取消","已取消",IF(L83="已完成",IF(OR(M83="",N83=""),"补完成证据","已完成"),IF(J83="","待定日期",IF(NOT(ISNUMBER(J83)),"检查日期",IF(J83&lt;'使用说明'!$B$5,"已逾期",IF(J83='使用说明'!$B$5,"今日跟进","待跟进")))))))</f>
        <v/>
      </c>
      <c r="Q83" s="16">
        <f>IF(A83="","",IF(OR(COUNTIF($A$8:$A$207,A83)&lt;&gt;1,COUNTIF('公司'!$A$8:$A$207,B83)&lt;&gt;1,AND(D83&lt;&gt;"",COUNTIF('联系人'!$A$8:$A$207,D83)&lt;&gt;1),AND(E83&lt;&gt;"",COUNTIF('用胶项目'!$A$8:$A$207,E83)&lt;&gt;1),AND(F83&lt;&gt;"",COUNTIF('样品测试'!$A$8:$A$207,F83)&lt;&gt;1),AND(O83&lt;&gt;"",COUNTIF('沟通记录'!$A$8:$A$207,O83)&lt;&gt;1)),"检查编号或关联","正常"))</f>
        <v/>
      </c>
    </row>
    <row r="84" ht="34" customHeight="1">
      <c r="A84" s="32" t="n"/>
      <c r="B84" s="32" t="n"/>
      <c r="C84" s="16">
        <f>IF(B84="","",IF(COUNTIF('公司'!$A$8:$A$207,B84)&lt;&gt;1,"编号缺失或重复",INDEX('公司'!$B$8:$B$207,MATCH(B84,'公司'!$A$8:$A$207,0))))</f>
        <v/>
      </c>
      <c r="D84" s="32" t="n"/>
      <c r="E84" s="32" t="n"/>
      <c r="F84" s="32" t="n"/>
      <c r="G84" s="10" t="n"/>
      <c r="H84" s="10" t="n"/>
      <c r="I84" s="10" t="n"/>
      <c r="J84" s="33" t="n"/>
      <c r="K84" s="10" t="n"/>
      <c r="L84" s="10" t="n"/>
      <c r="M84" s="33" t="n"/>
      <c r="N84" s="10" t="n"/>
      <c r="O84" s="32" t="n"/>
      <c r="P84" s="16">
        <f>IF(A84="","",IF(L84="已取消","已取消",IF(L84="已完成",IF(OR(M84="",N84=""),"补完成证据","已完成"),IF(J84="","待定日期",IF(NOT(ISNUMBER(J84)),"检查日期",IF(J84&lt;'使用说明'!$B$5,"已逾期",IF(J84='使用说明'!$B$5,"今日跟进","待跟进")))))))</f>
        <v/>
      </c>
      <c r="Q84" s="16">
        <f>IF(A84="","",IF(OR(COUNTIF($A$8:$A$207,A84)&lt;&gt;1,COUNTIF('公司'!$A$8:$A$207,B84)&lt;&gt;1,AND(D84&lt;&gt;"",COUNTIF('联系人'!$A$8:$A$207,D84)&lt;&gt;1),AND(E84&lt;&gt;"",COUNTIF('用胶项目'!$A$8:$A$207,E84)&lt;&gt;1),AND(F84&lt;&gt;"",COUNTIF('样品测试'!$A$8:$A$207,F84)&lt;&gt;1),AND(O84&lt;&gt;"",COUNTIF('沟通记录'!$A$8:$A$207,O84)&lt;&gt;1)),"检查编号或关联","正常"))</f>
        <v/>
      </c>
    </row>
    <row r="85" ht="34" customHeight="1">
      <c r="A85" s="32" t="n"/>
      <c r="B85" s="32" t="n"/>
      <c r="C85" s="16">
        <f>IF(B85="","",IF(COUNTIF('公司'!$A$8:$A$207,B85)&lt;&gt;1,"编号缺失或重复",INDEX('公司'!$B$8:$B$207,MATCH(B85,'公司'!$A$8:$A$207,0))))</f>
        <v/>
      </c>
      <c r="D85" s="32" t="n"/>
      <c r="E85" s="32" t="n"/>
      <c r="F85" s="32" t="n"/>
      <c r="G85" s="10" t="n"/>
      <c r="H85" s="10" t="n"/>
      <c r="I85" s="10" t="n"/>
      <c r="J85" s="33" t="n"/>
      <c r="K85" s="10" t="n"/>
      <c r="L85" s="10" t="n"/>
      <c r="M85" s="33" t="n"/>
      <c r="N85" s="10" t="n"/>
      <c r="O85" s="32" t="n"/>
      <c r="P85" s="16">
        <f>IF(A85="","",IF(L85="已取消","已取消",IF(L85="已完成",IF(OR(M85="",N85=""),"补完成证据","已完成"),IF(J85="","待定日期",IF(NOT(ISNUMBER(J85)),"检查日期",IF(J85&lt;'使用说明'!$B$5,"已逾期",IF(J85='使用说明'!$B$5,"今日跟进","待跟进")))))))</f>
        <v/>
      </c>
      <c r="Q85" s="16">
        <f>IF(A85="","",IF(OR(COUNTIF($A$8:$A$207,A85)&lt;&gt;1,COUNTIF('公司'!$A$8:$A$207,B85)&lt;&gt;1,AND(D85&lt;&gt;"",COUNTIF('联系人'!$A$8:$A$207,D85)&lt;&gt;1),AND(E85&lt;&gt;"",COUNTIF('用胶项目'!$A$8:$A$207,E85)&lt;&gt;1),AND(F85&lt;&gt;"",COUNTIF('样品测试'!$A$8:$A$207,F85)&lt;&gt;1),AND(O85&lt;&gt;"",COUNTIF('沟通记录'!$A$8:$A$207,O85)&lt;&gt;1)),"检查编号或关联","正常"))</f>
        <v/>
      </c>
    </row>
    <row r="86" ht="34" customHeight="1">
      <c r="A86" s="32" t="n"/>
      <c r="B86" s="32" t="n"/>
      <c r="C86" s="16">
        <f>IF(B86="","",IF(COUNTIF('公司'!$A$8:$A$207,B86)&lt;&gt;1,"编号缺失或重复",INDEX('公司'!$B$8:$B$207,MATCH(B86,'公司'!$A$8:$A$207,0))))</f>
        <v/>
      </c>
      <c r="D86" s="32" t="n"/>
      <c r="E86" s="32" t="n"/>
      <c r="F86" s="32" t="n"/>
      <c r="G86" s="10" t="n"/>
      <c r="H86" s="10" t="n"/>
      <c r="I86" s="10" t="n"/>
      <c r="J86" s="33" t="n"/>
      <c r="K86" s="10" t="n"/>
      <c r="L86" s="10" t="n"/>
      <c r="M86" s="33" t="n"/>
      <c r="N86" s="10" t="n"/>
      <c r="O86" s="32" t="n"/>
      <c r="P86" s="16">
        <f>IF(A86="","",IF(L86="已取消","已取消",IF(L86="已完成",IF(OR(M86="",N86=""),"补完成证据","已完成"),IF(J86="","待定日期",IF(NOT(ISNUMBER(J86)),"检查日期",IF(J86&lt;'使用说明'!$B$5,"已逾期",IF(J86='使用说明'!$B$5,"今日跟进","待跟进")))))))</f>
        <v/>
      </c>
      <c r="Q86" s="16">
        <f>IF(A86="","",IF(OR(COUNTIF($A$8:$A$207,A86)&lt;&gt;1,COUNTIF('公司'!$A$8:$A$207,B86)&lt;&gt;1,AND(D86&lt;&gt;"",COUNTIF('联系人'!$A$8:$A$207,D86)&lt;&gt;1),AND(E86&lt;&gt;"",COUNTIF('用胶项目'!$A$8:$A$207,E86)&lt;&gt;1),AND(F86&lt;&gt;"",COUNTIF('样品测试'!$A$8:$A$207,F86)&lt;&gt;1),AND(O86&lt;&gt;"",COUNTIF('沟通记录'!$A$8:$A$207,O86)&lt;&gt;1)),"检查编号或关联","正常"))</f>
        <v/>
      </c>
    </row>
    <row r="87" ht="34" customHeight="1">
      <c r="A87" s="32" t="n"/>
      <c r="B87" s="32" t="n"/>
      <c r="C87" s="16">
        <f>IF(B87="","",IF(COUNTIF('公司'!$A$8:$A$207,B87)&lt;&gt;1,"编号缺失或重复",INDEX('公司'!$B$8:$B$207,MATCH(B87,'公司'!$A$8:$A$207,0))))</f>
        <v/>
      </c>
      <c r="D87" s="32" t="n"/>
      <c r="E87" s="32" t="n"/>
      <c r="F87" s="32" t="n"/>
      <c r="G87" s="10" t="n"/>
      <c r="H87" s="10" t="n"/>
      <c r="I87" s="10" t="n"/>
      <c r="J87" s="33" t="n"/>
      <c r="K87" s="10" t="n"/>
      <c r="L87" s="10" t="n"/>
      <c r="M87" s="33" t="n"/>
      <c r="N87" s="10" t="n"/>
      <c r="O87" s="32" t="n"/>
      <c r="P87" s="16">
        <f>IF(A87="","",IF(L87="已取消","已取消",IF(L87="已完成",IF(OR(M87="",N87=""),"补完成证据","已完成"),IF(J87="","待定日期",IF(NOT(ISNUMBER(J87)),"检查日期",IF(J87&lt;'使用说明'!$B$5,"已逾期",IF(J87='使用说明'!$B$5,"今日跟进","待跟进")))))))</f>
        <v/>
      </c>
      <c r="Q87" s="16">
        <f>IF(A87="","",IF(OR(COUNTIF($A$8:$A$207,A87)&lt;&gt;1,COUNTIF('公司'!$A$8:$A$207,B87)&lt;&gt;1,AND(D87&lt;&gt;"",COUNTIF('联系人'!$A$8:$A$207,D87)&lt;&gt;1),AND(E87&lt;&gt;"",COUNTIF('用胶项目'!$A$8:$A$207,E87)&lt;&gt;1),AND(F87&lt;&gt;"",COUNTIF('样品测试'!$A$8:$A$207,F87)&lt;&gt;1),AND(O87&lt;&gt;"",COUNTIF('沟通记录'!$A$8:$A$207,O87)&lt;&gt;1)),"检查编号或关联","正常"))</f>
        <v/>
      </c>
    </row>
    <row r="88" ht="34" customHeight="1">
      <c r="A88" s="32" t="n"/>
      <c r="B88" s="32" t="n"/>
      <c r="C88" s="16">
        <f>IF(B88="","",IF(COUNTIF('公司'!$A$8:$A$207,B88)&lt;&gt;1,"编号缺失或重复",INDEX('公司'!$B$8:$B$207,MATCH(B88,'公司'!$A$8:$A$207,0))))</f>
        <v/>
      </c>
      <c r="D88" s="32" t="n"/>
      <c r="E88" s="32" t="n"/>
      <c r="F88" s="32" t="n"/>
      <c r="G88" s="10" t="n"/>
      <c r="H88" s="10" t="n"/>
      <c r="I88" s="10" t="n"/>
      <c r="J88" s="33" t="n"/>
      <c r="K88" s="10" t="n"/>
      <c r="L88" s="10" t="n"/>
      <c r="M88" s="33" t="n"/>
      <c r="N88" s="10" t="n"/>
      <c r="O88" s="32" t="n"/>
      <c r="P88" s="16">
        <f>IF(A88="","",IF(L88="已取消","已取消",IF(L88="已完成",IF(OR(M88="",N88=""),"补完成证据","已完成"),IF(J88="","待定日期",IF(NOT(ISNUMBER(J88)),"检查日期",IF(J88&lt;'使用说明'!$B$5,"已逾期",IF(J88='使用说明'!$B$5,"今日跟进","待跟进")))))))</f>
        <v/>
      </c>
      <c r="Q88" s="16">
        <f>IF(A88="","",IF(OR(COUNTIF($A$8:$A$207,A88)&lt;&gt;1,COUNTIF('公司'!$A$8:$A$207,B88)&lt;&gt;1,AND(D88&lt;&gt;"",COUNTIF('联系人'!$A$8:$A$207,D88)&lt;&gt;1),AND(E88&lt;&gt;"",COUNTIF('用胶项目'!$A$8:$A$207,E88)&lt;&gt;1),AND(F88&lt;&gt;"",COUNTIF('样品测试'!$A$8:$A$207,F88)&lt;&gt;1),AND(O88&lt;&gt;"",COUNTIF('沟通记录'!$A$8:$A$207,O88)&lt;&gt;1)),"检查编号或关联","正常"))</f>
        <v/>
      </c>
    </row>
    <row r="89" ht="34" customHeight="1">
      <c r="A89" s="32" t="n"/>
      <c r="B89" s="32" t="n"/>
      <c r="C89" s="16">
        <f>IF(B89="","",IF(COUNTIF('公司'!$A$8:$A$207,B89)&lt;&gt;1,"编号缺失或重复",INDEX('公司'!$B$8:$B$207,MATCH(B89,'公司'!$A$8:$A$207,0))))</f>
        <v/>
      </c>
      <c r="D89" s="32" t="n"/>
      <c r="E89" s="32" t="n"/>
      <c r="F89" s="32" t="n"/>
      <c r="G89" s="10" t="n"/>
      <c r="H89" s="10" t="n"/>
      <c r="I89" s="10" t="n"/>
      <c r="J89" s="33" t="n"/>
      <c r="K89" s="10" t="n"/>
      <c r="L89" s="10" t="n"/>
      <c r="M89" s="33" t="n"/>
      <c r="N89" s="10" t="n"/>
      <c r="O89" s="32" t="n"/>
      <c r="P89" s="16">
        <f>IF(A89="","",IF(L89="已取消","已取消",IF(L89="已完成",IF(OR(M89="",N89=""),"补完成证据","已完成"),IF(J89="","待定日期",IF(NOT(ISNUMBER(J89)),"检查日期",IF(J89&lt;'使用说明'!$B$5,"已逾期",IF(J89='使用说明'!$B$5,"今日跟进","待跟进")))))))</f>
        <v/>
      </c>
      <c r="Q89" s="16">
        <f>IF(A89="","",IF(OR(COUNTIF($A$8:$A$207,A89)&lt;&gt;1,COUNTIF('公司'!$A$8:$A$207,B89)&lt;&gt;1,AND(D89&lt;&gt;"",COUNTIF('联系人'!$A$8:$A$207,D89)&lt;&gt;1),AND(E89&lt;&gt;"",COUNTIF('用胶项目'!$A$8:$A$207,E89)&lt;&gt;1),AND(F89&lt;&gt;"",COUNTIF('样品测试'!$A$8:$A$207,F89)&lt;&gt;1),AND(O89&lt;&gt;"",COUNTIF('沟通记录'!$A$8:$A$207,O89)&lt;&gt;1)),"检查编号或关联","正常"))</f>
        <v/>
      </c>
    </row>
    <row r="90" ht="34" customHeight="1">
      <c r="A90" s="32" t="n"/>
      <c r="B90" s="32" t="n"/>
      <c r="C90" s="16">
        <f>IF(B90="","",IF(COUNTIF('公司'!$A$8:$A$207,B90)&lt;&gt;1,"编号缺失或重复",INDEX('公司'!$B$8:$B$207,MATCH(B90,'公司'!$A$8:$A$207,0))))</f>
        <v/>
      </c>
      <c r="D90" s="32" t="n"/>
      <c r="E90" s="32" t="n"/>
      <c r="F90" s="32" t="n"/>
      <c r="G90" s="10" t="n"/>
      <c r="H90" s="10" t="n"/>
      <c r="I90" s="10" t="n"/>
      <c r="J90" s="33" t="n"/>
      <c r="K90" s="10" t="n"/>
      <c r="L90" s="10" t="n"/>
      <c r="M90" s="33" t="n"/>
      <c r="N90" s="10" t="n"/>
      <c r="O90" s="32" t="n"/>
      <c r="P90" s="16">
        <f>IF(A90="","",IF(L90="已取消","已取消",IF(L90="已完成",IF(OR(M90="",N90=""),"补完成证据","已完成"),IF(J90="","待定日期",IF(NOT(ISNUMBER(J90)),"检查日期",IF(J90&lt;'使用说明'!$B$5,"已逾期",IF(J90='使用说明'!$B$5,"今日跟进","待跟进")))))))</f>
        <v/>
      </c>
      <c r="Q90" s="16">
        <f>IF(A90="","",IF(OR(COUNTIF($A$8:$A$207,A90)&lt;&gt;1,COUNTIF('公司'!$A$8:$A$207,B90)&lt;&gt;1,AND(D90&lt;&gt;"",COUNTIF('联系人'!$A$8:$A$207,D90)&lt;&gt;1),AND(E90&lt;&gt;"",COUNTIF('用胶项目'!$A$8:$A$207,E90)&lt;&gt;1),AND(F90&lt;&gt;"",COUNTIF('样品测试'!$A$8:$A$207,F90)&lt;&gt;1),AND(O90&lt;&gt;"",COUNTIF('沟通记录'!$A$8:$A$207,O90)&lt;&gt;1)),"检查编号或关联","正常"))</f>
        <v/>
      </c>
    </row>
    <row r="91" ht="34" customHeight="1">
      <c r="A91" s="32" t="n"/>
      <c r="B91" s="32" t="n"/>
      <c r="C91" s="16">
        <f>IF(B91="","",IF(COUNTIF('公司'!$A$8:$A$207,B91)&lt;&gt;1,"编号缺失或重复",INDEX('公司'!$B$8:$B$207,MATCH(B91,'公司'!$A$8:$A$207,0))))</f>
        <v/>
      </c>
      <c r="D91" s="32" t="n"/>
      <c r="E91" s="32" t="n"/>
      <c r="F91" s="32" t="n"/>
      <c r="G91" s="10" t="n"/>
      <c r="H91" s="10" t="n"/>
      <c r="I91" s="10" t="n"/>
      <c r="J91" s="33" t="n"/>
      <c r="K91" s="10" t="n"/>
      <c r="L91" s="10" t="n"/>
      <c r="M91" s="33" t="n"/>
      <c r="N91" s="10" t="n"/>
      <c r="O91" s="32" t="n"/>
      <c r="P91" s="16">
        <f>IF(A91="","",IF(L91="已取消","已取消",IF(L91="已完成",IF(OR(M91="",N91=""),"补完成证据","已完成"),IF(J91="","待定日期",IF(NOT(ISNUMBER(J91)),"检查日期",IF(J91&lt;'使用说明'!$B$5,"已逾期",IF(J91='使用说明'!$B$5,"今日跟进","待跟进")))))))</f>
        <v/>
      </c>
      <c r="Q91" s="16">
        <f>IF(A91="","",IF(OR(COUNTIF($A$8:$A$207,A91)&lt;&gt;1,COUNTIF('公司'!$A$8:$A$207,B91)&lt;&gt;1,AND(D91&lt;&gt;"",COUNTIF('联系人'!$A$8:$A$207,D91)&lt;&gt;1),AND(E91&lt;&gt;"",COUNTIF('用胶项目'!$A$8:$A$207,E91)&lt;&gt;1),AND(F91&lt;&gt;"",COUNTIF('样品测试'!$A$8:$A$207,F91)&lt;&gt;1),AND(O91&lt;&gt;"",COUNTIF('沟通记录'!$A$8:$A$207,O91)&lt;&gt;1)),"检查编号或关联","正常"))</f>
        <v/>
      </c>
    </row>
    <row r="92" ht="34" customHeight="1">
      <c r="A92" s="32" t="n"/>
      <c r="B92" s="32" t="n"/>
      <c r="C92" s="16">
        <f>IF(B92="","",IF(COUNTIF('公司'!$A$8:$A$207,B92)&lt;&gt;1,"编号缺失或重复",INDEX('公司'!$B$8:$B$207,MATCH(B92,'公司'!$A$8:$A$207,0))))</f>
        <v/>
      </c>
      <c r="D92" s="32" t="n"/>
      <c r="E92" s="32" t="n"/>
      <c r="F92" s="32" t="n"/>
      <c r="G92" s="10" t="n"/>
      <c r="H92" s="10" t="n"/>
      <c r="I92" s="10" t="n"/>
      <c r="J92" s="33" t="n"/>
      <c r="K92" s="10" t="n"/>
      <c r="L92" s="10" t="n"/>
      <c r="M92" s="33" t="n"/>
      <c r="N92" s="10" t="n"/>
      <c r="O92" s="32" t="n"/>
      <c r="P92" s="16">
        <f>IF(A92="","",IF(L92="已取消","已取消",IF(L92="已完成",IF(OR(M92="",N92=""),"补完成证据","已完成"),IF(J92="","待定日期",IF(NOT(ISNUMBER(J92)),"检查日期",IF(J92&lt;'使用说明'!$B$5,"已逾期",IF(J92='使用说明'!$B$5,"今日跟进","待跟进")))))))</f>
        <v/>
      </c>
      <c r="Q92" s="16">
        <f>IF(A92="","",IF(OR(COUNTIF($A$8:$A$207,A92)&lt;&gt;1,COUNTIF('公司'!$A$8:$A$207,B92)&lt;&gt;1,AND(D92&lt;&gt;"",COUNTIF('联系人'!$A$8:$A$207,D92)&lt;&gt;1),AND(E92&lt;&gt;"",COUNTIF('用胶项目'!$A$8:$A$207,E92)&lt;&gt;1),AND(F92&lt;&gt;"",COUNTIF('样品测试'!$A$8:$A$207,F92)&lt;&gt;1),AND(O92&lt;&gt;"",COUNTIF('沟通记录'!$A$8:$A$207,O92)&lt;&gt;1)),"检查编号或关联","正常"))</f>
        <v/>
      </c>
    </row>
    <row r="93" ht="34" customHeight="1">
      <c r="A93" s="32" t="n"/>
      <c r="B93" s="32" t="n"/>
      <c r="C93" s="16">
        <f>IF(B93="","",IF(COUNTIF('公司'!$A$8:$A$207,B93)&lt;&gt;1,"编号缺失或重复",INDEX('公司'!$B$8:$B$207,MATCH(B93,'公司'!$A$8:$A$207,0))))</f>
        <v/>
      </c>
      <c r="D93" s="32" t="n"/>
      <c r="E93" s="32" t="n"/>
      <c r="F93" s="32" t="n"/>
      <c r="G93" s="10" t="n"/>
      <c r="H93" s="10" t="n"/>
      <c r="I93" s="10" t="n"/>
      <c r="J93" s="33" t="n"/>
      <c r="K93" s="10" t="n"/>
      <c r="L93" s="10" t="n"/>
      <c r="M93" s="33" t="n"/>
      <c r="N93" s="10" t="n"/>
      <c r="O93" s="32" t="n"/>
      <c r="P93" s="16">
        <f>IF(A93="","",IF(L93="已取消","已取消",IF(L93="已完成",IF(OR(M93="",N93=""),"补完成证据","已完成"),IF(J93="","待定日期",IF(NOT(ISNUMBER(J93)),"检查日期",IF(J93&lt;'使用说明'!$B$5,"已逾期",IF(J93='使用说明'!$B$5,"今日跟进","待跟进")))))))</f>
        <v/>
      </c>
      <c r="Q93" s="16">
        <f>IF(A93="","",IF(OR(COUNTIF($A$8:$A$207,A93)&lt;&gt;1,COUNTIF('公司'!$A$8:$A$207,B93)&lt;&gt;1,AND(D93&lt;&gt;"",COUNTIF('联系人'!$A$8:$A$207,D93)&lt;&gt;1),AND(E93&lt;&gt;"",COUNTIF('用胶项目'!$A$8:$A$207,E93)&lt;&gt;1),AND(F93&lt;&gt;"",COUNTIF('样品测试'!$A$8:$A$207,F93)&lt;&gt;1),AND(O93&lt;&gt;"",COUNTIF('沟通记录'!$A$8:$A$207,O93)&lt;&gt;1)),"检查编号或关联","正常"))</f>
        <v/>
      </c>
    </row>
    <row r="94" ht="34" customHeight="1">
      <c r="A94" s="32" t="n"/>
      <c r="B94" s="32" t="n"/>
      <c r="C94" s="16">
        <f>IF(B94="","",IF(COUNTIF('公司'!$A$8:$A$207,B94)&lt;&gt;1,"编号缺失或重复",INDEX('公司'!$B$8:$B$207,MATCH(B94,'公司'!$A$8:$A$207,0))))</f>
        <v/>
      </c>
      <c r="D94" s="32" t="n"/>
      <c r="E94" s="32" t="n"/>
      <c r="F94" s="32" t="n"/>
      <c r="G94" s="10" t="n"/>
      <c r="H94" s="10" t="n"/>
      <c r="I94" s="10" t="n"/>
      <c r="J94" s="33" t="n"/>
      <c r="K94" s="10" t="n"/>
      <c r="L94" s="10" t="n"/>
      <c r="M94" s="33" t="n"/>
      <c r="N94" s="10" t="n"/>
      <c r="O94" s="32" t="n"/>
      <c r="P94" s="16">
        <f>IF(A94="","",IF(L94="已取消","已取消",IF(L94="已完成",IF(OR(M94="",N94=""),"补完成证据","已完成"),IF(J94="","待定日期",IF(NOT(ISNUMBER(J94)),"检查日期",IF(J94&lt;'使用说明'!$B$5,"已逾期",IF(J94='使用说明'!$B$5,"今日跟进","待跟进")))))))</f>
        <v/>
      </c>
      <c r="Q94" s="16">
        <f>IF(A94="","",IF(OR(COUNTIF($A$8:$A$207,A94)&lt;&gt;1,COUNTIF('公司'!$A$8:$A$207,B94)&lt;&gt;1,AND(D94&lt;&gt;"",COUNTIF('联系人'!$A$8:$A$207,D94)&lt;&gt;1),AND(E94&lt;&gt;"",COUNTIF('用胶项目'!$A$8:$A$207,E94)&lt;&gt;1),AND(F94&lt;&gt;"",COUNTIF('样品测试'!$A$8:$A$207,F94)&lt;&gt;1),AND(O94&lt;&gt;"",COUNTIF('沟通记录'!$A$8:$A$207,O94)&lt;&gt;1)),"检查编号或关联","正常"))</f>
        <v/>
      </c>
    </row>
    <row r="95" ht="34" customHeight="1">
      <c r="A95" s="32" t="n"/>
      <c r="B95" s="32" t="n"/>
      <c r="C95" s="16">
        <f>IF(B95="","",IF(COUNTIF('公司'!$A$8:$A$207,B95)&lt;&gt;1,"编号缺失或重复",INDEX('公司'!$B$8:$B$207,MATCH(B95,'公司'!$A$8:$A$207,0))))</f>
        <v/>
      </c>
      <c r="D95" s="32" t="n"/>
      <c r="E95" s="32" t="n"/>
      <c r="F95" s="32" t="n"/>
      <c r="G95" s="10" t="n"/>
      <c r="H95" s="10" t="n"/>
      <c r="I95" s="10" t="n"/>
      <c r="J95" s="33" t="n"/>
      <c r="K95" s="10" t="n"/>
      <c r="L95" s="10" t="n"/>
      <c r="M95" s="33" t="n"/>
      <c r="N95" s="10" t="n"/>
      <c r="O95" s="32" t="n"/>
      <c r="P95" s="16">
        <f>IF(A95="","",IF(L95="已取消","已取消",IF(L95="已完成",IF(OR(M95="",N95=""),"补完成证据","已完成"),IF(J95="","待定日期",IF(NOT(ISNUMBER(J95)),"检查日期",IF(J95&lt;'使用说明'!$B$5,"已逾期",IF(J95='使用说明'!$B$5,"今日跟进","待跟进")))))))</f>
        <v/>
      </c>
      <c r="Q95" s="16">
        <f>IF(A95="","",IF(OR(COUNTIF($A$8:$A$207,A95)&lt;&gt;1,COUNTIF('公司'!$A$8:$A$207,B95)&lt;&gt;1,AND(D95&lt;&gt;"",COUNTIF('联系人'!$A$8:$A$207,D95)&lt;&gt;1),AND(E95&lt;&gt;"",COUNTIF('用胶项目'!$A$8:$A$207,E95)&lt;&gt;1),AND(F95&lt;&gt;"",COUNTIF('样品测试'!$A$8:$A$207,F95)&lt;&gt;1),AND(O95&lt;&gt;"",COUNTIF('沟通记录'!$A$8:$A$207,O95)&lt;&gt;1)),"检查编号或关联","正常"))</f>
        <v/>
      </c>
    </row>
    <row r="96" ht="34" customHeight="1">
      <c r="A96" s="32" t="n"/>
      <c r="B96" s="32" t="n"/>
      <c r="C96" s="16">
        <f>IF(B96="","",IF(COUNTIF('公司'!$A$8:$A$207,B96)&lt;&gt;1,"编号缺失或重复",INDEX('公司'!$B$8:$B$207,MATCH(B96,'公司'!$A$8:$A$207,0))))</f>
        <v/>
      </c>
      <c r="D96" s="32" t="n"/>
      <c r="E96" s="32" t="n"/>
      <c r="F96" s="32" t="n"/>
      <c r="G96" s="10" t="n"/>
      <c r="H96" s="10" t="n"/>
      <c r="I96" s="10" t="n"/>
      <c r="J96" s="33" t="n"/>
      <c r="K96" s="10" t="n"/>
      <c r="L96" s="10" t="n"/>
      <c r="M96" s="33" t="n"/>
      <c r="N96" s="10" t="n"/>
      <c r="O96" s="32" t="n"/>
      <c r="P96" s="16">
        <f>IF(A96="","",IF(L96="已取消","已取消",IF(L96="已完成",IF(OR(M96="",N96=""),"补完成证据","已完成"),IF(J96="","待定日期",IF(NOT(ISNUMBER(J96)),"检查日期",IF(J96&lt;'使用说明'!$B$5,"已逾期",IF(J96='使用说明'!$B$5,"今日跟进","待跟进")))))))</f>
        <v/>
      </c>
      <c r="Q96" s="16">
        <f>IF(A96="","",IF(OR(COUNTIF($A$8:$A$207,A96)&lt;&gt;1,COUNTIF('公司'!$A$8:$A$207,B96)&lt;&gt;1,AND(D96&lt;&gt;"",COUNTIF('联系人'!$A$8:$A$207,D96)&lt;&gt;1),AND(E96&lt;&gt;"",COUNTIF('用胶项目'!$A$8:$A$207,E96)&lt;&gt;1),AND(F96&lt;&gt;"",COUNTIF('样品测试'!$A$8:$A$207,F96)&lt;&gt;1),AND(O96&lt;&gt;"",COUNTIF('沟通记录'!$A$8:$A$207,O96)&lt;&gt;1)),"检查编号或关联","正常"))</f>
        <v/>
      </c>
    </row>
    <row r="97" ht="34" customHeight="1">
      <c r="A97" s="32" t="n"/>
      <c r="B97" s="32" t="n"/>
      <c r="C97" s="16">
        <f>IF(B97="","",IF(COUNTIF('公司'!$A$8:$A$207,B97)&lt;&gt;1,"编号缺失或重复",INDEX('公司'!$B$8:$B$207,MATCH(B97,'公司'!$A$8:$A$207,0))))</f>
        <v/>
      </c>
      <c r="D97" s="32" t="n"/>
      <c r="E97" s="32" t="n"/>
      <c r="F97" s="32" t="n"/>
      <c r="G97" s="10" t="n"/>
      <c r="H97" s="10" t="n"/>
      <c r="I97" s="10" t="n"/>
      <c r="J97" s="33" t="n"/>
      <c r="K97" s="10" t="n"/>
      <c r="L97" s="10" t="n"/>
      <c r="M97" s="33" t="n"/>
      <c r="N97" s="10" t="n"/>
      <c r="O97" s="32" t="n"/>
      <c r="P97" s="16">
        <f>IF(A97="","",IF(L97="已取消","已取消",IF(L97="已完成",IF(OR(M97="",N97=""),"补完成证据","已完成"),IF(J97="","待定日期",IF(NOT(ISNUMBER(J97)),"检查日期",IF(J97&lt;'使用说明'!$B$5,"已逾期",IF(J97='使用说明'!$B$5,"今日跟进","待跟进")))))))</f>
        <v/>
      </c>
      <c r="Q97" s="16">
        <f>IF(A97="","",IF(OR(COUNTIF($A$8:$A$207,A97)&lt;&gt;1,COUNTIF('公司'!$A$8:$A$207,B97)&lt;&gt;1,AND(D97&lt;&gt;"",COUNTIF('联系人'!$A$8:$A$207,D97)&lt;&gt;1),AND(E97&lt;&gt;"",COUNTIF('用胶项目'!$A$8:$A$207,E97)&lt;&gt;1),AND(F97&lt;&gt;"",COUNTIF('样品测试'!$A$8:$A$207,F97)&lt;&gt;1),AND(O97&lt;&gt;"",COUNTIF('沟通记录'!$A$8:$A$207,O97)&lt;&gt;1)),"检查编号或关联","正常"))</f>
        <v/>
      </c>
    </row>
    <row r="98" ht="34" customHeight="1">
      <c r="A98" s="32" t="n"/>
      <c r="B98" s="32" t="n"/>
      <c r="C98" s="16">
        <f>IF(B98="","",IF(COUNTIF('公司'!$A$8:$A$207,B98)&lt;&gt;1,"编号缺失或重复",INDEX('公司'!$B$8:$B$207,MATCH(B98,'公司'!$A$8:$A$207,0))))</f>
        <v/>
      </c>
      <c r="D98" s="32" t="n"/>
      <c r="E98" s="32" t="n"/>
      <c r="F98" s="32" t="n"/>
      <c r="G98" s="10" t="n"/>
      <c r="H98" s="10" t="n"/>
      <c r="I98" s="10" t="n"/>
      <c r="J98" s="33" t="n"/>
      <c r="K98" s="10" t="n"/>
      <c r="L98" s="10" t="n"/>
      <c r="M98" s="33" t="n"/>
      <c r="N98" s="10" t="n"/>
      <c r="O98" s="32" t="n"/>
      <c r="P98" s="16">
        <f>IF(A98="","",IF(L98="已取消","已取消",IF(L98="已完成",IF(OR(M98="",N98=""),"补完成证据","已完成"),IF(J98="","待定日期",IF(NOT(ISNUMBER(J98)),"检查日期",IF(J98&lt;'使用说明'!$B$5,"已逾期",IF(J98='使用说明'!$B$5,"今日跟进","待跟进")))))))</f>
        <v/>
      </c>
      <c r="Q98" s="16">
        <f>IF(A98="","",IF(OR(COUNTIF($A$8:$A$207,A98)&lt;&gt;1,COUNTIF('公司'!$A$8:$A$207,B98)&lt;&gt;1,AND(D98&lt;&gt;"",COUNTIF('联系人'!$A$8:$A$207,D98)&lt;&gt;1),AND(E98&lt;&gt;"",COUNTIF('用胶项目'!$A$8:$A$207,E98)&lt;&gt;1),AND(F98&lt;&gt;"",COUNTIF('样品测试'!$A$8:$A$207,F98)&lt;&gt;1),AND(O98&lt;&gt;"",COUNTIF('沟通记录'!$A$8:$A$207,O98)&lt;&gt;1)),"检查编号或关联","正常"))</f>
        <v/>
      </c>
    </row>
    <row r="99" ht="34" customHeight="1">
      <c r="A99" s="32" t="n"/>
      <c r="B99" s="32" t="n"/>
      <c r="C99" s="16">
        <f>IF(B99="","",IF(COUNTIF('公司'!$A$8:$A$207,B99)&lt;&gt;1,"编号缺失或重复",INDEX('公司'!$B$8:$B$207,MATCH(B99,'公司'!$A$8:$A$207,0))))</f>
        <v/>
      </c>
      <c r="D99" s="32" t="n"/>
      <c r="E99" s="32" t="n"/>
      <c r="F99" s="32" t="n"/>
      <c r="G99" s="10" t="n"/>
      <c r="H99" s="10" t="n"/>
      <c r="I99" s="10" t="n"/>
      <c r="J99" s="33" t="n"/>
      <c r="K99" s="10" t="n"/>
      <c r="L99" s="10" t="n"/>
      <c r="M99" s="33" t="n"/>
      <c r="N99" s="10" t="n"/>
      <c r="O99" s="32" t="n"/>
      <c r="P99" s="16">
        <f>IF(A99="","",IF(L99="已取消","已取消",IF(L99="已完成",IF(OR(M99="",N99=""),"补完成证据","已完成"),IF(J99="","待定日期",IF(NOT(ISNUMBER(J99)),"检查日期",IF(J99&lt;'使用说明'!$B$5,"已逾期",IF(J99='使用说明'!$B$5,"今日跟进","待跟进")))))))</f>
        <v/>
      </c>
      <c r="Q99" s="16">
        <f>IF(A99="","",IF(OR(COUNTIF($A$8:$A$207,A99)&lt;&gt;1,COUNTIF('公司'!$A$8:$A$207,B99)&lt;&gt;1,AND(D99&lt;&gt;"",COUNTIF('联系人'!$A$8:$A$207,D99)&lt;&gt;1),AND(E99&lt;&gt;"",COUNTIF('用胶项目'!$A$8:$A$207,E99)&lt;&gt;1),AND(F99&lt;&gt;"",COUNTIF('样品测试'!$A$8:$A$207,F99)&lt;&gt;1),AND(O99&lt;&gt;"",COUNTIF('沟通记录'!$A$8:$A$207,O99)&lt;&gt;1)),"检查编号或关联","正常"))</f>
        <v/>
      </c>
    </row>
    <row r="100" ht="34" customHeight="1">
      <c r="A100" s="32" t="n"/>
      <c r="B100" s="32" t="n"/>
      <c r="C100" s="16">
        <f>IF(B100="","",IF(COUNTIF('公司'!$A$8:$A$207,B100)&lt;&gt;1,"编号缺失或重复",INDEX('公司'!$B$8:$B$207,MATCH(B100,'公司'!$A$8:$A$207,0))))</f>
        <v/>
      </c>
      <c r="D100" s="32" t="n"/>
      <c r="E100" s="32" t="n"/>
      <c r="F100" s="32" t="n"/>
      <c r="G100" s="10" t="n"/>
      <c r="H100" s="10" t="n"/>
      <c r="I100" s="10" t="n"/>
      <c r="J100" s="33" t="n"/>
      <c r="K100" s="10" t="n"/>
      <c r="L100" s="10" t="n"/>
      <c r="M100" s="33" t="n"/>
      <c r="N100" s="10" t="n"/>
      <c r="O100" s="32" t="n"/>
      <c r="P100" s="16">
        <f>IF(A100="","",IF(L100="已取消","已取消",IF(L100="已完成",IF(OR(M100="",N100=""),"补完成证据","已完成"),IF(J100="","待定日期",IF(NOT(ISNUMBER(J100)),"检查日期",IF(J100&lt;'使用说明'!$B$5,"已逾期",IF(J100='使用说明'!$B$5,"今日跟进","待跟进")))))))</f>
        <v/>
      </c>
      <c r="Q100" s="16">
        <f>IF(A100="","",IF(OR(COUNTIF($A$8:$A$207,A100)&lt;&gt;1,COUNTIF('公司'!$A$8:$A$207,B100)&lt;&gt;1,AND(D100&lt;&gt;"",COUNTIF('联系人'!$A$8:$A$207,D100)&lt;&gt;1),AND(E100&lt;&gt;"",COUNTIF('用胶项目'!$A$8:$A$207,E100)&lt;&gt;1),AND(F100&lt;&gt;"",COUNTIF('样品测试'!$A$8:$A$207,F100)&lt;&gt;1),AND(O100&lt;&gt;"",COUNTIF('沟通记录'!$A$8:$A$207,O100)&lt;&gt;1)),"检查编号或关联","正常"))</f>
        <v/>
      </c>
    </row>
    <row r="101" ht="34" customHeight="1">
      <c r="A101" s="32" t="n"/>
      <c r="B101" s="32" t="n"/>
      <c r="C101" s="16">
        <f>IF(B101="","",IF(COUNTIF('公司'!$A$8:$A$207,B101)&lt;&gt;1,"编号缺失或重复",INDEX('公司'!$B$8:$B$207,MATCH(B101,'公司'!$A$8:$A$207,0))))</f>
        <v/>
      </c>
      <c r="D101" s="32" t="n"/>
      <c r="E101" s="32" t="n"/>
      <c r="F101" s="32" t="n"/>
      <c r="G101" s="10" t="n"/>
      <c r="H101" s="10" t="n"/>
      <c r="I101" s="10" t="n"/>
      <c r="J101" s="33" t="n"/>
      <c r="K101" s="10" t="n"/>
      <c r="L101" s="10" t="n"/>
      <c r="M101" s="33" t="n"/>
      <c r="N101" s="10" t="n"/>
      <c r="O101" s="32" t="n"/>
      <c r="P101" s="16">
        <f>IF(A101="","",IF(L101="已取消","已取消",IF(L101="已完成",IF(OR(M101="",N101=""),"补完成证据","已完成"),IF(J101="","待定日期",IF(NOT(ISNUMBER(J101)),"检查日期",IF(J101&lt;'使用说明'!$B$5,"已逾期",IF(J101='使用说明'!$B$5,"今日跟进","待跟进")))))))</f>
        <v/>
      </c>
      <c r="Q101" s="16">
        <f>IF(A101="","",IF(OR(COUNTIF($A$8:$A$207,A101)&lt;&gt;1,COUNTIF('公司'!$A$8:$A$207,B101)&lt;&gt;1,AND(D101&lt;&gt;"",COUNTIF('联系人'!$A$8:$A$207,D101)&lt;&gt;1),AND(E101&lt;&gt;"",COUNTIF('用胶项目'!$A$8:$A$207,E101)&lt;&gt;1),AND(F101&lt;&gt;"",COUNTIF('样品测试'!$A$8:$A$207,F101)&lt;&gt;1),AND(O101&lt;&gt;"",COUNTIF('沟通记录'!$A$8:$A$207,O101)&lt;&gt;1)),"检查编号或关联","正常"))</f>
        <v/>
      </c>
    </row>
    <row r="102" ht="34" customHeight="1">
      <c r="A102" s="32" t="n"/>
      <c r="B102" s="32" t="n"/>
      <c r="C102" s="16">
        <f>IF(B102="","",IF(COUNTIF('公司'!$A$8:$A$207,B102)&lt;&gt;1,"编号缺失或重复",INDEX('公司'!$B$8:$B$207,MATCH(B102,'公司'!$A$8:$A$207,0))))</f>
        <v/>
      </c>
      <c r="D102" s="32" t="n"/>
      <c r="E102" s="32" t="n"/>
      <c r="F102" s="32" t="n"/>
      <c r="G102" s="10" t="n"/>
      <c r="H102" s="10" t="n"/>
      <c r="I102" s="10" t="n"/>
      <c r="J102" s="33" t="n"/>
      <c r="K102" s="10" t="n"/>
      <c r="L102" s="10" t="n"/>
      <c r="M102" s="33" t="n"/>
      <c r="N102" s="10" t="n"/>
      <c r="O102" s="32" t="n"/>
      <c r="P102" s="16">
        <f>IF(A102="","",IF(L102="已取消","已取消",IF(L102="已完成",IF(OR(M102="",N102=""),"补完成证据","已完成"),IF(J102="","待定日期",IF(NOT(ISNUMBER(J102)),"检查日期",IF(J102&lt;'使用说明'!$B$5,"已逾期",IF(J102='使用说明'!$B$5,"今日跟进","待跟进")))))))</f>
        <v/>
      </c>
      <c r="Q102" s="16">
        <f>IF(A102="","",IF(OR(COUNTIF($A$8:$A$207,A102)&lt;&gt;1,COUNTIF('公司'!$A$8:$A$207,B102)&lt;&gt;1,AND(D102&lt;&gt;"",COUNTIF('联系人'!$A$8:$A$207,D102)&lt;&gt;1),AND(E102&lt;&gt;"",COUNTIF('用胶项目'!$A$8:$A$207,E102)&lt;&gt;1),AND(F102&lt;&gt;"",COUNTIF('样品测试'!$A$8:$A$207,F102)&lt;&gt;1),AND(O102&lt;&gt;"",COUNTIF('沟通记录'!$A$8:$A$207,O102)&lt;&gt;1)),"检查编号或关联","正常"))</f>
        <v/>
      </c>
    </row>
    <row r="103" ht="34" customHeight="1">
      <c r="A103" s="32" t="n"/>
      <c r="B103" s="32" t="n"/>
      <c r="C103" s="16">
        <f>IF(B103="","",IF(COUNTIF('公司'!$A$8:$A$207,B103)&lt;&gt;1,"编号缺失或重复",INDEX('公司'!$B$8:$B$207,MATCH(B103,'公司'!$A$8:$A$207,0))))</f>
        <v/>
      </c>
      <c r="D103" s="32" t="n"/>
      <c r="E103" s="32" t="n"/>
      <c r="F103" s="32" t="n"/>
      <c r="G103" s="10" t="n"/>
      <c r="H103" s="10" t="n"/>
      <c r="I103" s="10" t="n"/>
      <c r="J103" s="33" t="n"/>
      <c r="K103" s="10" t="n"/>
      <c r="L103" s="10" t="n"/>
      <c r="M103" s="33" t="n"/>
      <c r="N103" s="10" t="n"/>
      <c r="O103" s="32" t="n"/>
      <c r="P103" s="16">
        <f>IF(A103="","",IF(L103="已取消","已取消",IF(L103="已完成",IF(OR(M103="",N103=""),"补完成证据","已完成"),IF(J103="","待定日期",IF(NOT(ISNUMBER(J103)),"检查日期",IF(J103&lt;'使用说明'!$B$5,"已逾期",IF(J103='使用说明'!$B$5,"今日跟进","待跟进")))))))</f>
        <v/>
      </c>
      <c r="Q103" s="16">
        <f>IF(A103="","",IF(OR(COUNTIF($A$8:$A$207,A103)&lt;&gt;1,COUNTIF('公司'!$A$8:$A$207,B103)&lt;&gt;1,AND(D103&lt;&gt;"",COUNTIF('联系人'!$A$8:$A$207,D103)&lt;&gt;1),AND(E103&lt;&gt;"",COUNTIF('用胶项目'!$A$8:$A$207,E103)&lt;&gt;1),AND(F103&lt;&gt;"",COUNTIF('样品测试'!$A$8:$A$207,F103)&lt;&gt;1),AND(O103&lt;&gt;"",COUNTIF('沟通记录'!$A$8:$A$207,O103)&lt;&gt;1)),"检查编号或关联","正常"))</f>
        <v/>
      </c>
    </row>
    <row r="104" ht="34" customHeight="1">
      <c r="A104" s="32" t="n"/>
      <c r="B104" s="32" t="n"/>
      <c r="C104" s="16">
        <f>IF(B104="","",IF(COUNTIF('公司'!$A$8:$A$207,B104)&lt;&gt;1,"编号缺失或重复",INDEX('公司'!$B$8:$B$207,MATCH(B104,'公司'!$A$8:$A$207,0))))</f>
        <v/>
      </c>
      <c r="D104" s="32" t="n"/>
      <c r="E104" s="32" t="n"/>
      <c r="F104" s="32" t="n"/>
      <c r="G104" s="10" t="n"/>
      <c r="H104" s="10" t="n"/>
      <c r="I104" s="10" t="n"/>
      <c r="J104" s="33" t="n"/>
      <c r="K104" s="10" t="n"/>
      <c r="L104" s="10" t="n"/>
      <c r="M104" s="33" t="n"/>
      <c r="N104" s="10" t="n"/>
      <c r="O104" s="32" t="n"/>
      <c r="P104" s="16">
        <f>IF(A104="","",IF(L104="已取消","已取消",IF(L104="已完成",IF(OR(M104="",N104=""),"补完成证据","已完成"),IF(J104="","待定日期",IF(NOT(ISNUMBER(J104)),"检查日期",IF(J104&lt;'使用说明'!$B$5,"已逾期",IF(J104='使用说明'!$B$5,"今日跟进","待跟进")))))))</f>
        <v/>
      </c>
      <c r="Q104" s="16">
        <f>IF(A104="","",IF(OR(COUNTIF($A$8:$A$207,A104)&lt;&gt;1,COUNTIF('公司'!$A$8:$A$207,B104)&lt;&gt;1,AND(D104&lt;&gt;"",COUNTIF('联系人'!$A$8:$A$207,D104)&lt;&gt;1),AND(E104&lt;&gt;"",COUNTIF('用胶项目'!$A$8:$A$207,E104)&lt;&gt;1),AND(F104&lt;&gt;"",COUNTIF('样品测试'!$A$8:$A$207,F104)&lt;&gt;1),AND(O104&lt;&gt;"",COUNTIF('沟通记录'!$A$8:$A$207,O104)&lt;&gt;1)),"检查编号或关联","正常"))</f>
        <v/>
      </c>
    </row>
    <row r="105" ht="34" customHeight="1">
      <c r="A105" s="32" t="n"/>
      <c r="B105" s="32" t="n"/>
      <c r="C105" s="16">
        <f>IF(B105="","",IF(COUNTIF('公司'!$A$8:$A$207,B105)&lt;&gt;1,"编号缺失或重复",INDEX('公司'!$B$8:$B$207,MATCH(B105,'公司'!$A$8:$A$207,0))))</f>
        <v/>
      </c>
      <c r="D105" s="32" t="n"/>
      <c r="E105" s="32" t="n"/>
      <c r="F105" s="32" t="n"/>
      <c r="G105" s="10" t="n"/>
      <c r="H105" s="10" t="n"/>
      <c r="I105" s="10" t="n"/>
      <c r="J105" s="33" t="n"/>
      <c r="K105" s="10" t="n"/>
      <c r="L105" s="10" t="n"/>
      <c r="M105" s="33" t="n"/>
      <c r="N105" s="10" t="n"/>
      <c r="O105" s="32" t="n"/>
      <c r="P105" s="16">
        <f>IF(A105="","",IF(L105="已取消","已取消",IF(L105="已完成",IF(OR(M105="",N105=""),"补完成证据","已完成"),IF(J105="","待定日期",IF(NOT(ISNUMBER(J105)),"检查日期",IF(J105&lt;'使用说明'!$B$5,"已逾期",IF(J105='使用说明'!$B$5,"今日跟进","待跟进")))))))</f>
        <v/>
      </c>
      <c r="Q105" s="16">
        <f>IF(A105="","",IF(OR(COUNTIF($A$8:$A$207,A105)&lt;&gt;1,COUNTIF('公司'!$A$8:$A$207,B105)&lt;&gt;1,AND(D105&lt;&gt;"",COUNTIF('联系人'!$A$8:$A$207,D105)&lt;&gt;1),AND(E105&lt;&gt;"",COUNTIF('用胶项目'!$A$8:$A$207,E105)&lt;&gt;1),AND(F105&lt;&gt;"",COUNTIF('样品测试'!$A$8:$A$207,F105)&lt;&gt;1),AND(O105&lt;&gt;"",COUNTIF('沟通记录'!$A$8:$A$207,O105)&lt;&gt;1)),"检查编号或关联","正常"))</f>
        <v/>
      </c>
    </row>
    <row r="106" ht="34" customHeight="1">
      <c r="A106" s="32" t="n"/>
      <c r="B106" s="32" t="n"/>
      <c r="C106" s="16">
        <f>IF(B106="","",IF(COUNTIF('公司'!$A$8:$A$207,B106)&lt;&gt;1,"编号缺失或重复",INDEX('公司'!$B$8:$B$207,MATCH(B106,'公司'!$A$8:$A$207,0))))</f>
        <v/>
      </c>
      <c r="D106" s="32" t="n"/>
      <c r="E106" s="32" t="n"/>
      <c r="F106" s="32" t="n"/>
      <c r="G106" s="10" t="n"/>
      <c r="H106" s="10" t="n"/>
      <c r="I106" s="10" t="n"/>
      <c r="J106" s="33" t="n"/>
      <c r="K106" s="10" t="n"/>
      <c r="L106" s="10" t="n"/>
      <c r="M106" s="33" t="n"/>
      <c r="N106" s="10" t="n"/>
      <c r="O106" s="32" t="n"/>
      <c r="P106" s="16">
        <f>IF(A106="","",IF(L106="已取消","已取消",IF(L106="已完成",IF(OR(M106="",N106=""),"补完成证据","已完成"),IF(J106="","待定日期",IF(NOT(ISNUMBER(J106)),"检查日期",IF(J106&lt;'使用说明'!$B$5,"已逾期",IF(J106='使用说明'!$B$5,"今日跟进","待跟进")))))))</f>
        <v/>
      </c>
      <c r="Q106" s="16">
        <f>IF(A106="","",IF(OR(COUNTIF($A$8:$A$207,A106)&lt;&gt;1,COUNTIF('公司'!$A$8:$A$207,B106)&lt;&gt;1,AND(D106&lt;&gt;"",COUNTIF('联系人'!$A$8:$A$207,D106)&lt;&gt;1),AND(E106&lt;&gt;"",COUNTIF('用胶项目'!$A$8:$A$207,E106)&lt;&gt;1),AND(F106&lt;&gt;"",COUNTIF('样品测试'!$A$8:$A$207,F106)&lt;&gt;1),AND(O106&lt;&gt;"",COUNTIF('沟通记录'!$A$8:$A$207,O106)&lt;&gt;1)),"检查编号或关联","正常"))</f>
        <v/>
      </c>
    </row>
    <row r="107" ht="34" customHeight="1">
      <c r="A107" s="32" t="n"/>
      <c r="B107" s="32" t="n"/>
      <c r="C107" s="16">
        <f>IF(B107="","",IF(COUNTIF('公司'!$A$8:$A$207,B107)&lt;&gt;1,"编号缺失或重复",INDEX('公司'!$B$8:$B$207,MATCH(B107,'公司'!$A$8:$A$207,0))))</f>
        <v/>
      </c>
      <c r="D107" s="32" t="n"/>
      <c r="E107" s="32" t="n"/>
      <c r="F107" s="32" t="n"/>
      <c r="G107" s="10" t="n"/>
      <c r="H107" s="10" t="n"/>
      <c r="I107" s="10" t="n"/>
      <c r="J107" s="33" t="n"/>
      <c r="K107" s="10" t="n"/>
      <c r="L107" s="10" t="n"/>
      <c r="M107" s="33" t="n"/>
      <c r="N107" s="10" t="n"/>
      <c r="O107" s="32" t="n"/>
      <c r="P107" s="16">
        <f>IF(A107="","",IF(L107="已取消","已取消",IF(L107="已完成",IF(OR(M107="",N107=""),"补完成证据","已完成"),IF(J107="","待定日期",IF(NOT(ISNUMBER(J107)),"检查日期",IF(J107&lt;'使用说明'!$B$5,"已逾期",IF(J107='使用说明'!$B$5,"今日跟进","待跟进")))))))</f>
        <v/>
      </c>
      <c r="Q107" s="16">
        <f>IF(A107="","",IF(OR(COUNTIF($A$8:$A$207,A107)&lt;&gt;1,COUNTIF('公司'!$A$8:$A$207,B107)&lt;&gt;1,AND(D107&lt;&gt;"",COUNTIF('联系人'!$A$8:$A$207,D107)&lt;&gt;1),AND(E107&lt;&gt;"",COUNTIF('用胶项目'!$A$8:$A$207,E107)&lt;&gt;1),AND(F107&lt;&gt;"",COUNTIF('样品测试'!$A$8:$A$207,F107)&lt;&gt;1),AND(O107&lt;&gt;"",COUNTIF('沟通记录'!$A$8:$A$207,O107)&lt;&gt;1)),"检查编号或关联","正常"))</f>
        <v/>
      </c>
    </row>
    <row r="108" ht="34" customHeight="1">
      <c r="A108" s="32" t="n"/>
      <c r="B108" s="32" t="n"/>
      <c r="C108" s="16">
        <f>IF(B108="","",IF(COUNTIF('公司'!$A$8:$A$207,B108)&lt;&gt;1,"编号缺失或重复",INDEX('公司'!$B$8:$B$207,MATCH(B108,'公司'!$A$8:$A$207,0))))</f>
        <v/>
      </c>
      <c r="D108" s="32" t="n"/>
      <c r="E108" s="32" t="n"/>
      <c r="F108" s="32" t="n"/>
      <c r="G108" s="10" t="n"/>
      <c r="H108" s="10" t="n"/>
      <c r="I108" s="10" t="n"/>
      <c r="J108" s="33" t="n"/>
      <c r="K108" s="10" t="n"/>
      <c r="L108" s="10" t="n"/>
      <c r="M108" s="33" t="n"/>
      <c r="N108" s="10" t="n"/>
      <c r="O108" s="32" t="n"/>
      <c r="P108" s="16">
        <f>IF(A108="","",IF(L108="已取消","已取消",IF(L108="已完成",IF(OR(M108="",N108=""),"补完成证据","已完成"),IF(J108="","待定日期",IF(NOT(ISNUMBER(J108)),"检查日期",IF(J108&lt;'使用说明'!$B$5,"已逾期",IF(J108='使用说明'!$B$5,"今日跟进","待跟进")))))))</f>
        <v/>
      </c>
      <c r="Q108" s="16">
        <f>IF(A108="","",IF(OR(COUNTIF($A$8:$A$207,A108)&lt;&gt;1,COUNTIF('公司'!$A$8:$A$207,B108)&lt;&gt;1,AND(D108&lt;&gt;"",COUNTIF('联系人'!$A$8:$A$207,D108)&lt;&gt;1),AND(E108&lt;&gt;"",COUNTIF('用胶项目'!$A$8:$A$207,E108)&lt;&gt;1),AND(F108&lt;&gt;"",COUNTIF('样品测试'!$A$8:$A$207,F108)&lt;&gt;1),AND(O108&lt;&gt;"",COUNTIF('沟通记录'!$A$8:$A$207,O108)&lt;&gt;1)),"检查编号或关联","正常"))</f>
        <v/>
      </c>
    </row>
    <row r="109" ht="34" customHeight="1">
      <c r="A109" s="32" t="n"/>
      <c r="B109" s="32" t="n"/>
      <c r="C109" s="16">
        <f>IF(B109="","",IF(COUNTIF('公司'!$A$8:$A$207,B109)&lt;&gt;1,"编号缺失或重复",INDEX('公司'!$B$8:$B$207,MATCH(B109,'公司'!$A$8:$A$207,0))))</f>
        <v/>
      </c>
      <c r="D109" s="32" t="n"/>
      <c r="E109" s="32" t="n"/>
      <c r="F109" s="32" t="n"/>
      <c r="G109" s="10" t="n"/>
      <c r="H109" s="10" t="n"/>
      <c r="I109" s="10" t="n"/>
      <c r="J109" s="33" t="n"/>
      <c r="K109" s="10" t="n"/>
      <c r="L109" s="10" t="n"/>
      <c r="M109" s="33" t="n"/>
      <c r="N109" s="10" t="n"/>
      <c r="O109" s="32" t="n"/>
      <c r="P109" s="16">
        <f>IF(A109="","",IF(L109="已取消","已取消",IF(L109="已完成",IF(OR(M109="",N109=""),"补完成证据","已完成"),IF(J109="","待定日期",IF(NOT(ISNUMBER(J109)),"检查日期",IF(J109&lt;'使用说明'!$B$5,"已逾期",IF(J109='使用说明'!$B$5,"今日跟进","待跟进")))))))</f>
        <v/>
      </c>
      <c r="Q109" s="16">
        <f>IF(A109="","",IF(OR(COUNTIF($A$8:$A$207,A109)&lt;&gt;1,COUNTIF('公司'!$A$8:$A$207,B109)&lt;&gt;1,AND(D109&lt;&gt;"",COUNTIF('联系人'!$A$8:$A$207,D109)&lt;&gt;1),AND(E109&lt;&gt;"",COUNTIF('用胶项目'!$A$8:$A$207,E109)&lt;&gt;1),AND(F109&lt;&gt;"",COUNTIF('样品测试'!$A$8:$A$207,F109)&lt;&gt;1),AND(O109&lt;&gt;"",COUNTIF('沟通记录'!$A$8:$A$207,O109)&lt;&gt;1)),"检查编号或关联","正常"))</f>
        <v/>
      </c>
    </row>
    <row r="110" ht="34" customHeight="1">
      <c r="A110" s="32" t="n"/>
      <c r="B110" s="32" t="n"/>
      <c r="C110" s="16">
        <f>IF(B110="","",IF(COUNTIF('公司'!$A$8:$A$207,B110)&lt;&gt;1,"编号缺失或重复",INDEX('公司'!$B$8:$B$207,MATCH(B110,'公司'!$A$8:$A$207,0))))</f>
        <v/>
      </c>
      <c r="D110" s="32" t="n"/>
      <c r="E110" s="32" t="n"/>
      <c r="F110" s="32" t="n"/>
      <c r="G110" s="10" t="n"/>
      <c r="H110" s="10" t="n"/>
      <c r="I110" s="10" t="n"/>
      <c r="J110" s="33" t="n"/>
      <c r="K110" s="10" t="n"/>
      <c r="L110" s="10" t="n"/>
      <c r="M110" s="33" t="n"/>
      <c r="N110" s="10" t="n"/>
      <c r="O110" s="32" t="n"/>
      <c r="P110" s="16">
        <f>IF(A110="","",IF(L110="已取消","已取消",IF(L110="已完成",IF(OR(M110="",N110=""),"补完成证据","已完成"),IF(J110="","待定日期",IF(NOT(ISNUMBER(J110)),"检查日期",IF(J110&lt;'使用说明'!$B$5,"已逾期",IF(J110='使用说明'!$B$5,"今日跟进","待跟进")))))))</f>
        <v/>
      </c>
      <c r="Q110" s="16">
        <f>IF(A110="","",IF(OR(COUNTIF($A$8:$A$207,A110)&lt;&gt;1,COUNTIF('公司'!$A$8:$A$207,B110)&lt;&gt;1,AND(D110&lt;&gt;"",COUNTIF('联系人'!$A$8:$A$207,D110)&lt;&gt;1),AND(E110&lt;&gt;"",COUNTIF('用胶项目'!$A$8:$A$207,E110)&lt;&gt;1),AND(F110&lt;&gt;"",COUNTIF('样品测试'!$A$8:$A$207,F110)&lt;&gt;1),AND(O110&lt;&gt;"",COUNTIF('沟通记录'!$A$8:$A$207,O110)&lt;&gt;1)),"检查编号或关联","正常"))</f>
        <v/>
      </c>
    </row>
    <row r="111" ht="34" customHeight="1">
      <c r="A111" s="32" t="n"/>
      <c r="B111" s="32" t="n"/>
      <c r="C111" s="16">
        <f>IF(B111="","",IF(COUNTIF('公司'!$A$8:$A$207,B111)&lt;&gt;1,"编号缺失或重复",INDEX('公司'!$B$8:$B$207,MATCH(B111,'公司'!$A$8:$A$207,0))))</f>
        <v/>
      </c>
      <c r="D111" s="32" t="n"/>
      <c r="E111" s="32" t="n"/>
      <c r="F111" s="32" t="n"/>
      <c r="G111" s="10" t="n"/>
      <c r="H111" s="10" t="n"/>
      <c r="I111" s="10" t="n"/>
      <c r="J111" s="33" t="n"/>
      <c r="K111" s="10" t="n"/>
      <c r="L111" s="10" t="n"/>
      <c r="M111" s="33" t="n"/>
      <c r="N111" s="10" t="n"/>
      <c r="O111" s="32" t="n"/>
      <c r="P111" s="16">
        <f>IF(A111="","",IF(L111="已取消","已取消",IF(L111="已完成",IF(OR(M111="",N111=""),"补完成证据","已完成"),IF(J111="","待定日期",IF(NOT(ISNUMBER(J111)),"检查日期",IF(J111&lt;'使用说明'!$B$5,"已逾期",IF(J111='使用说明'!$B$5,"今日跟进","待跟进")))))))</f>
        <v/>
      </c>
      <c r="Q111" s="16">
        <f>IF(A111="","",IF(OR(COUNTIF($A$8:$A$207,A111)&lt;&gt;1,COUNTIF('公司'!$A$8:$A$207,B111)&lt;&gt;1,AND(D111&lt;&gt;"",COUNTIF('联系人'!$A$8:$A$207,D111)&lt;&gt;1),AND(E111&lt;&gt;"",COUNTIF('用胶项目'!$A$8:$A$207,E111)&lt;&gt;1),AND(F111&lt;&gt;"",COUNTIF('样品测试'!$A$8:$A$207,F111)&lt;&gt;1),AND(O111&lt;&gt;"",COUNTIF('沟通记录'!$A$8:$A$207,O111)&lt;&gt;1)),"检查编号或关联","正常"))</f>
        <v/>
      </c>
    </row>
    <row r="112" ht="34" customHeight="1">
      <c r="A112" s="32" t="n"/>
      <c r="B112" s="32" t="n"/>
      <c r="C112" s="16">
        <f>IF(B112="","",IF(COUNTIF('公司'!$A$8:$A$207,B112)&lt;&gt;1,"编号缺失或重复",INDEX('公司'!$B$8:$B$207,MATCH(B112,'公司'!$A$8:$A$207,0))))</f>
        <v/>
      </c>
      <c r="D112" s="32" t="n"/>
      <c r="E112" s="32" t="n"/>
      <c r="F112" s="32" t="n"/>
      <c r="G112" s="10" t="n"/>
      <c r="H112" s="10" t="n"/>
      <c r="I112" s="10" t="n"/>
      <c r="J112" s="33" t="n"/>
      <c r="K112" s="10" t="n"/>
      <c r="L112" s="10" t="n"/>
      <c r="M112" s="33" t="n"/>
      <c r="N112" s="10" t="n"/>
      <c r="O112" s="32" t="n"/>
      <c r="P112" s="16">
        <f>IF(A112="","",IF(L112="已取消","已取消",IF(L112="已完成",IF(OR(M112="",N112=""),"补完成证据","已完成"),IF(J112="","待定日期",IF(NOT(ISNUMBER(J112)),"检查日期",IF(J112&lt;'使用说明'!$B$5,"已逾期",IF(J112='使用说明'!$B$5,"今日跟进","待跟进")))))))</f>
        <v/>
      </c>
      <c r="Q112" s="16">
        <f>IF(A112="","",IF(OR(COUNTIF($A$8:$A$207,A112)&lt;&gt;1,COUNTIF('公司'!$A$8:$A$207,B112)&lt;&gt;1,AND(D112&lt;&gt;"",COUNTIF('联系人'!$A$8:$A$207,D112)&lt;&gt;1),AND(E112&lt;&gt;"",COUNTIF('用胶项目'!$A$8:$A$207,E112)&lt;&gt;1),AND(F112&lt;&gt;"",COUNTIF('样品测试'!$A$8:$A$207,F112)&lt;&gt;1),AND(O112&lt;&gt;"",COUNTIF('沟通记录'!$A$8:$A$207,O112)&lt;&gt;1)),"检查编号或关联","正常"))</f>
        <v/>
      </c>
    </row>
    <row r="113" ht="34" customHeight="1">
      <c r="A113" s="32" t="n"/>
      <c r="B113" s="32" t="n"/>
      <c r="C113" s="16">
        <f>IF(B113="","",IF(COUNTIF('公司'!$A$8:$A$207,B113)&lt;&gt;1,"编号缺失或重复",INDEX('公司'!$B$8:$B$207,MATCH(B113,'公司'!$A$8:$A$207,0))))</f>
        <v/>
      </c>
      <c r="D113" s="32" t="n"/>
      <c r="E113" s="32" t="n"/>
      <c r="F113" s="32" t="n"/>
      <c r="G113" s="10" t="n"/>
      <c r="H113" s="10" t="n"/>
      <c r="I113" s="10" t="n"/>
      <c r="J113" s="33" t="n"/>
      <c r="K113" s="10" t="n"/>
      <c r="L113" s="10" t="n"/>
      <c r="M113" s="33" t="n"/>
      <c r="N113" s="10" t="n"/>
      <c r="O113" s="32" t="n"/>
      <c r="P113" s="16">
        <f>IF(A113="","",IF(L113="已取消","已取消",IF(L113="已完成",IF(OR(M113="",N113=""),"补完成证据","已完成"),IF(J113="","待定日期",IF(NOT(ISNUMBER(J113)),"检查日期",IF(J113&lt;'使用说明'!$B$5,"已逾期",IF(J113='使用说明'!$B$5,"今日跟进","待跟进")))))))</f>
        <v/>
      </c>
      <c r="Q113" s="16">
        <f>IF(A113="","",IF(OR(COUNTIF($A$8:$A$207,A113)&lt;&gt;1,COUNTIF('公司'!$A$8:$A$207,B113)&lt;&gt;1,AND(D113&lt;&gt;"",COUNTIF('联系人'!$A$8:$A$207,D113)&lt;&gt;1),AND(E113&lt;&gt;"",COUNTIF('用胶项目'!$A$8:$A$207,E113)&lt;&gt;1),AND(F113&lt;&gt;"",COUNTIF('样品测试'!$A$8:$A$207,F113)&lt;&gt;1),AND(O113&lt;&gt;"",COUNTIF('沟通记录'!$A$8:$A$207,O113)&lt;&gt;1)),"检查编号或关联","正常"))</f>
        <v/>
      </c>
    </row>
    <row r="114" ht="34" customHeight="1">
      <c r="A114" s="32" t="n"/>
      <c r="B114" s="32" t="n"/>
      <c r="C114" s="16">
        <f>IF(B114="","",IF(COUNTIF('公司'!$A$8:$A$207,B114)&lt;&gt;1,"编号缺失或重复",INDEX('公司'!$B$8:$B$207,MATCH(B114,'公司'!$A$8:$A$207,0))))</f>
        <v/>
      </c>
      <c r="D114" s="32" t="n"/>
      <c r="E114" s="32" t="n"/>
      <c r="F114" s="32" t="n"/>
      <c r="G114" s="10" t="n"/>
      <c r="H114" s="10" t="n"/>
      <c r="I114" s="10" t="n"/>
      <c r="J114" s="33" t="n"/>
      <c r="K114" s="10" t="n"/>
      <c r="L114" s="10" t="n"/>
      <c r="M114" s="33" t="n"/>
      <c r="N114" s="10" t="n"/>
      <c r="O114" s="32" t="n"/>
      <c r="P114" s="16">
        <f>IF(A114="","",IF(L114="已取消","已取消",IF(L114="已完成",IF(OR(M114="",N114=""),"补完成证据","已完成"),IF(J114="","待定日期",IF(NOT(ISNUMBER(J114)),"检查日期",IF(J114&lt;'使用说明'!$B$5,"已逾期",IF(J114='使用说明'!$B$5,"今日跟进","待跟进")))))))</f>
        <v/>
      </c>
      <c r="Q114" s="16">
        <f>IF(A114="","",IF(OR(COUNTIF($A$8:$A$207,A114)&lt;&gt;1,COUNTIF('公司'!$A$8:$A$207,B114)&lt;&gt;1,AND(D114&lt;&gt;"",COUNTIF('联系人'!$A$8:$A$207,D114)&lt;&gt;1),AND(E114&lt;&gt;"",COUNTIF('用胶项目'!$A$8:$A$207,E114)&lt;&gt;1),AND(F114&lt;&gt;"",COUNTIF('样品测试'!$A$8:$A$207,F114)&lt;&gt;1),AND(O114&lt;&gt;"",COUNTIF('沟通记录'!$A$8:$A$207,O114)&lt;&gt;1)),"检查编号或关联","正常"))</f>
        <v/>
      </c>
    </row>
    <row r="115" ht="34" customHeight="1">
      <c r="A115" s="32" t="n"/>
      <c r="B115" s="32" t="n"/>
      <c r="C115" s="16">
        <f>IF(B115="","",IF(COUNTIF('公司'!$A$8:$A$207,B115)&lt;&gt;1,"编号缺失或重复",INDEX('公司'!$B$8:$B$207,MATCH(B115,'公司'!$A$8:$A$207,0))))</f>
        <v/>
      </c>
      <c r="D115" s="32" t="n"/>
      <c r="E115" s="32" t="n"/>
      <c r="F115" s="32" t="n"/>
      <c r="G115" s="10" t="n"/>
      <c r="H115" s="10" t="n"/>
      <c r="I115" s="10" t="n"/>
      <c r="J115" s="33" t="n"/>
      <c r="K115" s="10" t="n"/>
      <c r="L115" s="10" t="n"/>
      <c r="M115" s="33" t="n"/>
      <c r="N115" s="10" t="n"/>
      <c r="O115" s="32" t="n"/>
      <c r="P115" s="16">
        <f>IF(A115="","",IF(L115="已取消","已取消",IF(L115="已完成",IF(OR(M115="",N115=""),"补完成证据","已完成"),IF(J115="","待定日期",IF(NOT(ISNUMBER(J115)),"检查日期",IF(J115&lt;'使用说明'!$B$5,"已逾期",IF(J115='使用说明'!$B$5,"今日跟进","待跟进")))))))</f>
        <v/>
      </c>
      <c r="Q115" s="16">
        <f>IF(A115="","",IF(OR(COUNTIF($A$8:$A$207,A115)&lt;&gt;1,COUNTIF('公司'!$A$8:$A$207,B115)&lt;&gt;1,AND(D115&lt;&gt;"",COUNTIF('联系人'!$A$8:$A$207,D115)&lt;&gt;1),AND(E115&lt;&gt;"",COUNTIF('用胶项目'!$A$8:$A$207,E115)&lt;&gt;1),AND(F115&lt;&gt;"",COUNTIF('样品测试'!$A$8:$A$207,F115)&lt;&gt;1),AND(O115&lt;&gt;"",COUNTIF('沟通记录'!$A$8:$A$207,O115)&lt;&gt;1)),"检查编号或关联","正常"))</f>
        <v/>
      </c>
    </row>
    <row r="116" ht="34" customHeight="1">
      <c r="A116" s="32" t="n"/>
      <c r="B116" s="32" t="n"/>
      <c r="C116" s="16">
        <f>IF(B116="","",IF(COUNTIF('公司'!$A$8:$A$207,B116)&lt;&gt;1,"编号缺失或重复",INDEX('公司'!$B$8:$B$207,MATCH(B116,'公司'!$A$8:$A$207,0))))</f>
        <v/>
      </c>
      <c r="D116" s="32" t="n"/>
      <c r="E116" s="32" t="n"/>
      <c r="F116" s="32" t="n"/>
      <c r="G116" s="10" t="n"/>
      <c r="H116" s="10" t="n"/>
      <c r="I116" s="10" t="n"/>
      <c r="J116" s="33" t="n"/>
      <c r="K116" s="10" t="n"/>
      <c r="L116" s="10" t="n"/>
      <c r="M116" s="33" t="n"/>
      <c r="N116" s="10" t="n"/>
      <c r="O116" s="32" t="n"/>
      <c r="P116" s="16">
        <f>IF(A116="","",IF(L116="已取消","已取消",IF(L116="已完成",IF(OR(M116="",N116=""),"补完成证据","已完成"),IF(J116="","待定日期",IF(NOT(ISNUMBER(J116)),"检查日期",IF(J116&lt;'使用说明'!$B$5,"已逾期",IF(J116='使用说明'!$B$5,"今日跟进","待跟进")))))))</f>
        <v/>
      </c>
      <c r="Q116" s="16">
        <f>IF(A116="","",IF(OR(COUNTIF($A$8:$A$207,A116)&lt;&gt;1,COUNTIF('公司'!$A$8:$A$207,B116)&lt;&gt;1,AND(D116&lt;&gt;"",COUNTIF('联系人'!$A$8:$A$207,D116)&lt;&gt;1),AND(E116&lt;&gt;"",COUNTIF('用胶项目'!$A$8:$A$207,E116)&lt;&gt;1),AND(F116&lt;&gt;"",COUNTIF('样品测试'!$A$8:$A$207,F116)&lt;&gt;1),AND(O116&lt;&gt;"",COUNTIF('沟通记录'!$A$8:$A$207,O116)&lt;&gt;1)),"检查编号或关联","正常"))</f>
        <v/>
      </c>
    </row>
    <row r="117" ht="34" customHeight="1">
      <c r="A117" s="32" t="n"/>
      <c r="B117" s="32" t="n"/>
      <c r="C117" s="16">
        <f>IF(B117="","",IF(COUNTIF('公司'!$A$8:$A$207,B117)&lt;&gt;1,"编号缺失或重复",INDEX('公司'!$B$8:$B$207,MATCH(B117,'公司'!$A$8:$A$207,0))))</f>
        <v/>
      </c>
      <c r="D117" s="32" t="n"/>
      <c r="E117" s="32" t="n"/>
      <c r="F117" s="32" t="n"/>
      <c r="G117" s="10" t="n"/>
      <c r="H117" s="10" t="n"/>
      <c r="I117" s="10" t="n"/>
      <c r="J117" s="33" t="n"/>
      <c r="K117" s="10" t="n"/>
      <c r="L117" s="10" t="n"/>
      <c r="M117" s="33" t="n"/>
      <c r="N117" s="10" t="n"/>
      <c r="O117" s="32" t="n"/>
      <c r="P117" s="16">
        <f>IF(A117="","",IF(L117="已取消","已取消",IF(L117="已完成",IF(OR(M117="",N117=""),"补完成证据","已完成"),IF(J117="","待定日期",IF(NOT(ISNUMBER(J117)),"检查日期",IF(J117&lt;'使用说明'!$B$5,"已逾期",IF(J117='使用说明'!$B$5,"今日跟进","待跟进")))))))</f>
        <v/>
      </c>
      <c r="Q117" s="16">
        <f>IF(A117="","",IF(OR(COUNTIF($A$8:$A$207,A117)&lt;&gt;1,COUNTIF('公司'!$A$8:$A$207,B117)&lt;&gt;1,AND(D117&lt;&gt;"",COUNTIF('联系人'!$A$8:$A$207,D117)&lt;&gt;1),AND(E117&lt;&gt;"",COUNTIF('用胶项目'!$A$8:$A$207,E117)&lt;&gt;1),AND(F117&lt;&gt;"",COUNTIF('样品测试'!$A$8:$A$207,F117)&lt;&gt;1),AND(O117&lt;&gt;"",COUNTIF('沟通记录'!$A$8:$A$207,O117)&lt;&gt;1)),"检查编号或关联","正常"))</f>
        <v/>
      </c>
    </row>
    <row r="118" ht="34" customHeight="1">
      <c r="A118" s="32" t="n"/>
      <c r="B118" s="32" t="n"/>
      <c r="C118" s="16">
        <f>IF(B118="","",IF(COUNTIF('公司'!$A$8:$A$207,B118)&lt;&gt;1,"编号缺失或重复",INDEX('公司'!$B$8:$B$207,MATCH(B118,'公司'!$A$8:$A$207,0))))</f>
        <v/>
      </c>
      <c r="D118" s="32" t="n"/>
      <c r="E118" s="32" t="n"/>
      <c r="F118" s="32" t="n"/>
      <c r="G118" s="10" t="n"/>
      <c r="H118" s="10" t="n"/>
      <c r="I118" s="10" t="n"/>
      <c r="J118" s="33" t="n"/>
      <c r="K118" s="10" t="n"/>
      <c r="L118" s="10" t="n"/>
      <c r="M118" s="33" t="n"/>
      <c r="N118" s="10" t="n"/>
      <c r="O118" s="32" t="n"/>
      <c r="P118" s="16">
        <f>IF(A118="","",IF(L118="已取消","已取消",IF(L118="已完成",IF(OR(M118="",N118=""),"补完成证据","已完成"),IF(J118="","待定日期",IF(NOT(ISNUMBER(J118)),"检查日期",IF(J118&lt;'使用说明'!$B$5,"已逾期",IF(J118='使用说明'!$B$5,"今日跟进","待跟进")))))))</f>
        <v/>
      </c>
      <c r="Q118" s="16">
        <f>IF(A118="","",IF(OR(COUNTIF($A$8:$A$207,A118)&lt;&gt;1,COUNTIF('公司'!$A$8:$A$207,B118)&lt;&gt;1,AND(D118&lt;&gt;"",COUNTIF('联系人'!$A$8:$A$207,D118)&lt;&gt;1),AND(E118&lt;&gt;"",COUNTIF('用胶项目'!$A$8:$A$207,E118)&lt;&gt;1),AND(F118&lt;&gt;"",COUNTIF('样品测试'!$A$8:$A$207,F118)&lt;&gt;1),AND(O118&lt;&gt;"",COUNTIF('沟通记录'!$A$8:$A$207,O118)&lt;&gt;1)),"检查编号或关联","正常"))</f>
        <v/>
      </c>
    </row>
    <row r="119" ht="34" customHeight="1">
      <c r="A119" s="32" t="n"/>
      <c r="B119" s="32" t="n"/>
      <c r="C119" s="16">
        <f>IF(B119="","",IF(COUNTIF('公司'!$A$8:$A$207,B119)&lt;&gt;1,"编号缺失或重复",INDEX('公司'!$B$8:$B$207,MATCH(B119,'公司'!$A$8:$A$207,0))))</f>
        <v/>
      </c>
      <c r="D119" s="32" t="n"/>
      <c r="E119" s="32" t="n"/>
      <c r="F119" s="32" t="n"/>
      <c r="G119" s="10" t="n"/>
      <c r="H119" s="10" t="n"/>
      <c r="I119" s="10" t="n"/>
      <c r="J119" s="33" t="n"/>
      <c r="K119" s="10" t="n"/>
      <c r="L119" s="10" t="n"/>
      <c r="M119" s="33" t="n"/>
      <c r="N119" s="10" t="n"/>
      <c r="O119" s="32" t="n"/>
      <c r="P119" s="16">
        <f>IF(A119="","",IF(L119="已取消","已取消",IF(L119="已完成",IF(OR(M119="",N119=""),"补完成证据","已完成"),IF(J119="","待定日期",IF(NOT(ISNUMBER(J119)),"检查日期",IF(J119&lt;'使用说明'!$B$5,"已逾期",IF(J119='使用说明'!$B$5,"今日跟进","待跟进")))))))</f>
        <v/>
      </c>
      <c r="Q119" s="16">
        <f>IF(A119="","",IF(OR(COUNTIF($A$8:$A$207,A119)&lt;&gt;1,COUNTIF('公司'!$A$8:$A$207,B119)&lt;&gt;1,AND(D119&lt;&gt;"",COUNTIF('联系人'!$A$8:$A$207,D119)&lt;&gt;1),AND(E119&lt;&gt;"",COUNTIF('用胶项目'!$A$8:$A$207,E119)&lt;&gt;1),AND(F119&lt;&gt;"",COUNTIF('样品测试'!$A$8:$A$207,F119)&lt;&gt;1),AND(O119&lt;&gt;"",COUNTIF('沟通记录'!$A$8:$A$207,O119)&lt;&gt;1)),"检查编号或关联","正常"))</f>
        <v/>
      </c>
    </row>
    <row r="120" ht="34" customHeight="1">
      <c r="A120" s="32" t="n"/>
      <c r="B120" s="32" t="n"/>
      <c r="C120" s="16">
        <f>IF(B120="","",IF(COUNTIF('公司'!$A$8:$A$207,B120)&lt;&gt;1,"编号缺失或重复",INDEX('公司'!$B$8:$B$207,MATCH(B120,'公司'!$A$8:$A$207,0))))</f>
        <v/>
      </c>
      <c r="D120" s="32" t="n"/>
      <c r="E120" s="32" t="n"/>
      <c r="F120" s="32" t="n"/>
      <c r="G120" s="10" t="n"/>
      <c r="H120" s="10" t="n"/>
      <c r="I120" s="10" t="n"/>
      <c r="J120" s="33" t="n"/>
      <c r="K120" s="10" t="n"/>
      <c r="L120" s="10" t="n"/>
      <c r="M120" s="33" t="n"/>
      <c r="N120" s="10" t="n"/>
      <c r="O120" s="32" t="n"/>
      <c r="P120" s="16">
        <f>IF(A120="","",IF(L120="已取消","已取消",IF(L120="已完成",IF(OR(M120="",N120=""),"补完成证据","已完成"),IF(J120="","待定日期",IF(NOT(ISNUMBER(J120)),"检查日期",IF(J120&lt;'使用说明'!$B$5,"已逾期",IF(J120='使用说明'!$B$5,"今日跟进","待跟进")))))))</f>
        <v/>
      </c>
      <c r="Q120" s="16">
        <f>IF(A120="","",IF(OR(COUNTIF($A$8:$A$207,A120)&lt;&gt;1,COUNTIF('公司'!$A$8:$A$207,B120)&lt;&gt;1,AND(D120&lt;&gt;"",COUNTIF('联系人'!$A$8:$A$207,D120)&lt;&gt;1),AND(E120&lt;&gt;"",COUNTIF('用胶项目'!$A$8:$A$207,E120)&lt;&gt;1),AND(F120&lt;&gt;"",COUNTIF('样品测试'!$A$8:$A$207,F120)&lt;&gt;1),AND(O120&lt;&gt;"",COUNTIF('沟通记录'!$A$8:$A$207,O120)&lt;&gt;1)),"检查编号或关联","正常"))</f>
        <v/>
      </c>
    </row>
    <row r="121" ht="34" customHeight="1">
      <c r="A121" s="32" t="n"/>
      <c r="B121" s="32" t="n"/>
      <c r="C121" s="16">
        <f>IF(B121="","",IF(COUNTIF('公司'!$A$8:$A$207,B121)&lt;&gt;1,"编号缺失或重复",INDEX('公司'!$B$8:$B$207,MATCH(B121,'公司'!$A$8:$A$207,0))))</f>
        <v/>
      </c>
      <c r="D121" s="32" t="n"/>
      <c r="E121" s="32" t="n"/>
      <c r="F121" s="32" t="n"/>
      <c r="G121" s="10" t="n"/>
      <c r="H121" s="10" t="n"/>
      <c r="I121" s="10" t="n"/>
      <c r="J121" s="33" t="n"/>
      <c r="K121" s="10" t="n"/>
      <c r="L121" s="10" t="n"/>
      <c r="M121" s="33" t="n"/>
      <c r="N121" s="10" t="n"/>
      <c r="O121" s="32" t="n"/>
      <c r="P121" s="16">
        <f>IF(A121="","",IF(L121="已取消","已取消",IF(L121="已完成",IF(OR(M121="",N121=""),"补完成证据","已完成"),IF(J121="","待定日期",IF(NOT(ISNUMBER(J121)),"检查日期",IF(J121&lt;'使用说明'!$B$5,"已逾期",IF(J121='使用说明'!$B$5,"今日跟进","待跟进")))))))</f>
        <v/>
      </c>
      <c r="Q121" s="16">
        <f>IF(A121="","",IF(OR(COUNTIF($A$8:$A$207,A121)&lt;&gt;1,COUNTIF('公司'!$A$8:$A$207,B121)&lt;&gt;1,AND(D121&lt;&gt;"",COUNTIF('联系人'!$A$8:$A$207,D121)&lt;&gt;1),AND(E121&lt;&gt;"",COUNTIF('用胶项目'!$A$8:$A$207,E121)&lt;&gt;1),AND(F121&lt;&gt;"",COUNTIF('样品测试'!$A$8:$A$207,F121)&lt;&gt;1),AND(O121&lt;&gt;"",COUNTIF('沟通记录'!$A$8:$A$207,O121)&lt;&gt;1)),"检查编号或关联","正常"))</f>
        <v/>
      </c>
    </row>
    <row r="122" ht="34" customHeight="1">
      <c r="A122" s="32" t="n"/>
      <c r="B122" s="32" t="n"/>
      <c r="C122" s="16">
        <f>IF(B122="","",IF(COUNTIF('公司'!$A$8:$A$207,B122)&lt;&gt;1,"编号缺失或重复",INDEX('公司'!$B$8:$B$207,MATCH(B122,'公司'!$A$8:$A$207,0))))</f>
        <v/>
      </c>
      <c r="D122" s="32" t="n"/>
      <c r="E122" s="32" t="n"/>
      <c r="F122" s="32" t="n"/>
      <c r="G122" s="10" t="n"/>
      <c r="H122" s="10" t="n"/>
      <c r="I122" s="10" t="n"/>
      <c r="J122" s="33" t="n"/>
      <c r="K122" s="10" t="n"/>
      <c r="L122" s="10" t="n"/>
      <c r="M122" s="33" t="n"/>
      <c r="N122" s="10" t="n"/>
      <c r="O122" s="32" t="n"/>
      <c r="P122" s="16">
        <f>IF(A122="","",IF(L122="已取消","已取消",IF(L122="已完成",IF(OR(M122="",N122=""),"补完成证据","已完成"),IF(J122="","待定日期",IF(NOT(ISNUMBER(J122)),"检查日期",IF(J122&lt;'使用说明'!$B$5,"已逾期",IF(J122='使用说明'!$B$5,"今日跟进","待跟进")))))))</f>
        <v/>
      </c>
      <c r="Q122" s="16">
        <f>IF(A122="","",IF(OR(COUNTIF($A$8:$A$207,A122)&lt;&gt;1,COUNTIF('公司'!$A$8:$A$207,B122)&lt;&gt;1,AND(D122&lt;&gt;"",COUNTIF('联系人'!$A$8:$A$207,D122)&lt;&gt;1),AND(E122&lt;&gt;"",COUNTIF('用胶项目'!$A$8:$A$207,E122)&lt;&gt;1),AND(F122&lt;&gt;"",COUNTIF('样品测试'!$A$8:$A$207,F122)&lt;&gt;1),AND(O122&lt;&gt;"",COUNTIF('沟通记录'!$A$8:$A$207,O122)&lt;&gt;1)),"检查编号或关联","正常"))</f>
        <v/>
      </c>
    </row>
    <row r="123" ht="34" customHeight="1">
      <c r="A123" s="32" t="n"/>
      <c r="B123" s="32" t="n"/>
      <c r="C123" s="16">
        <f>IF(B123="","",IF(COUNTIF('公司'!$A$8:$A$207,B123)&lt;&gt;1,"编号缺失或重复",INDEX('公司'!$B$8:$B$207,MATCH(B123,'公司'!$A$8:$A$207,0))))</f>
        <v/>
      </c>
      <c r="D123" s="32" t="n"/>
      <c r="E123" s="32" t="n"/>
      <c r="F123" s="32" t="n"/>
      <c r="G123" s="10" t="n"/>
      <c r="H123" s="10" t="n"/>
      <c r="I123" s="10" t="n"/>
      <c r="J123" s="33" t="n"/>
      <c r="K123" s="10" t="n"/>
      <c r="L123" s="10" t="n"/>
      <c r="M123" s="33" t="n"/>
      <c r="N123" s="10" t="n"/>
      <c r="O123" s="32" t="n"/>
      <c r="P123" s="16">
        <f>IF(A123="","",IF(L123="已取消","已取消",IF(L123="已完成",IF(OR(M123="",N123=""),"补完成证据","已完成"),IF(J123="","待定日期",IF(NOT(ISNUMBER(J123)),"检查日期",IF(J123&lt;'使用说明'!$B$5,"已逾期",IF(J123='使用说明'!$B$5,"今日跟进","待跟进")))))))</f>
        <v/>
      </c>
      <c r="Q123" s="16">
        <f>IF(A123="","",IF(OR(COUNTIF($A$8:$A$207,A123)&lt;&gt;1,COUNTIF('公司'!$A$8:$A$207,B123)&lt;&gt;1,AND(D123&lt;&gt;"",COUNTIF('联系人'!$A$8:$A$207,D123)&lt;&gt;1),AND(E123&lt;&gt;"",COUNTIF('用胶项目'!$A$8:$A$207,E123)&lt;&gt;1),AND(F123&lt;&gt;"",COUNTIF('样品测试'!$A$8:$A$207,F123)&lt;&gt;1),AND(O123&lt;&gt;"",COUNTIF('沟通记录'!$A$8:$A$207,O123)&lt;&gt;1)),"检查编号或关联","正常"))</f>
        <v/>
      </c>
    </row>
    <row r="124" ht="34" customHeight="1">
      <c r="A124" s="32" t="n"/>
      <c r="B124" s="32" t="n"/>
      <c r="C124" s="16">
        <f>IF(B124="","",IF(COUNTIF('公司'!$A$8:$A$207,B124)&lt;&gt;1,"编号缺失或重复",INDEX('公司'!$B$8:$B$207,MATCH(B124,'公司'!$A$8:$A$207,0))))</f>
        <v/>
      </c>
      <c r="D124" s="32" t="n"/>
      <c r="E124" s="32" t="n"/>
      <c r="F124" s="32" t="n"/>
      <c r="G124" s="10" t="n"/>
      <c r="H124" s="10" t="n"/>
      <c r="I124" s="10" t="n"/>
      <c r="J124" s="33" t="n"/>
      <c r="K124" s="10" t="n"/>
      <c r="L124" s="10" t="n"/>
      <c r="M124" s="33" t="n"/>
      <c r="N124" s="10" t="n"/>
      <c r="O124" s="32" t="n"/>
      <c r="P124" s="16">
        <f>IF(A124="","",IF(L124="已取消","已取消",IF(L124="已完成",IF(OR(M124="",N124=""),"补完成证据","已完成"),IF(J124="","待定日期",IF(NOT(ISNUMBER(J124)),"检查日期",IF(J124&lt;'使用说明'!$B$5,"已逾期",IF(J124='使用说明'!$B$5,"今日跟进","待跟进")))))))</f>
        <v/>
      </c>
      <c r="Q124" s="16">
        <f>IF(A124="","",IF(OR(COUNTIF($A$8:$A$207,A124)&lt;&gt;1,COUNTIF('公司'!$A$8:$A$207,B124)&lt;&gt;1,AND(D124&lt;&gt;"",COUNTIF('联系人'!$A$8:$A$207,D124)&lt;&gt;1),AND(E124&lt;&gt;"",COUNTIF('用胶项目'!$A$8:$A$207,E124)&lt;&gt;1),AND(F124&lt;&gt;"",COUNTIF('样品测试'!$A$8:$A$207,F124)&lt;&gt;1),AND(O124&lt;&gt;"",COUNTIF('沟通记录'!$A$8:$A$207,O124)&lt;&gt;1)),"检查编号或关联","正常"))</f>
        <v/>
      </c>
    </row>
    <row r="125" ht="34" customHeight="1">
      <c r="A125" s="32" t="n"/>
      <c r="B125" s="32" t="n"/>
      <c r="C125" s="16">
        <f>IF(B125="","",IF(COUNTIF('公司'!$A$8:$A$207,B125)&lt;&gt;1,"编号缺失或重复",INDEX('公司'!$B$8:$B$207,MATCH(B125,'公司'!$A$8:$A$207,0))))</f>
        <v/>
      </c>
      <c r="D125" s="32" t="n"/>
      <c r="E125" s="32" t="n"/>
      <c r="F125" s="32" t="n"/>
      <c r="G125" s="10" t="n"/>
      <c r="H125" s="10" t="n"/>
      <c r="I125" s="10" t="n"/>
      <c r="J125" s="33" t="n"/>
      <c r="K125" s="10" t="n"/>
      <c r="L125" s="10" t="n"/>
      <c r="M125" s="33" t="n"/>
      <c r="N125" s="10" t="n"/>
      <c r="O125" s="32" t="n"/>
      <c r="P125" s="16">
        <f>IF(A125="","",IF(L125="已取消","已取消",IF(L125="已完成",IF(OR(M125="",N125=""),"补完成证据","已完成"),IF(J125="","待定日期",IF(NOT(ISNUMBER(J125)),"检查日期",IF(J125&lt;'使用说明'!$B$5,"已逾期",IF(J125='使用说明'!$B$5,"今日跟进","待跟进")))))))</f>
        <v/>
      </c>
      <c r="Q125" s="16">
        <f>IF(A125="","",IF(OR(COUNTIF($A$8:$A$207,A125)&lt;&gt;1,COUNTIF('公司'!$A$8:$A$207,B125)&lt;&gt;1,AND(D125&lt;&gt;"",COUNTIF('联系人'!$A$8:$A$207,D125)&lt;&gt;1),AND(E125&lt;&gt;"",COUNTIF('用胶项目'!$A$8:$A$207,E125)&lt;&gt;1),AND(F125&lt;&gt;"",COUNTIF('样品测试'!$A$8:$A$207,F125)&lt;&gt;1),AND(O125&lt;&gt;"",COUNTIF('沟通记录'!$A$8:$A$207,O125)&lt;&gt;1)),"检查编号或关联","正常"))</f>
        <v/>
      </c>
    </row>
    <row r="126" ht="34" customHeight="1">
      <c r="A126" s="32" t="n"/>
      <c r="B126" s="32" t="n"/>
      <c r="C126" s="16">
        <f>IF(B126="","",IF(COUNTIF('公司'!$A$8:$A$207,B126)&lt;&gt;1,"编号缺失或重复",INDEX('公司'!$B$8:$B$207,MATCH(B126,'公司'!$A$8:$A$207,0))))</f>
        <v/>
      </c>
      <c r="D126" s="32" t="n"/>
      <c r="E126" s="32" t="n"/>
      <c r="F126" s="32" t="n"/>
      <c r="G126" s="10" t="n"/>
      <c r="H126" s="10" t="n"/>
      <c r="I126" s="10" t="n"/>
      <c r="J126" s="33" t="n"/>
      <c r="K126" s="10" t="n"/>
      <c r="L126" s="10" t="n"/>
      <c r="M126" s="33" t="n"/>
      <c r="N126" s="10" t="n"/>
      <c r="O126" s="32" t="n"/>
      <c r="P126" s="16">
        <f>IF(A126="","",IF(L126="已取消","已取消",IF(L126="已完成",IF(OR(M126="",N126=""),"补完成证据","已完成"),IF(J126="","待定日期",IF(NOT(ISNUMBER(J126)),"检查日期",IF(J126&lt;'使用说明'!$B$5,"已逾期",IF(J126='使用说明'!$B$5,"今日跟进","待跟进")))))))</f>
        <v/>
      </c>
      <c r="Q126" s="16">
        <f>IF(A126="","",IF(OR(COUNTIF($A$8:$A$207,A126)&lt;&gt;1,COUNTIF('公司'!$A$8:$A$207,B126)&lt;&gt;1,AND(D126&lt;&gt;"",COUNTIF('联系人'!$A$8:$A$207,D126)&lt;&gt;1),AND(E126&lt;&gt;"",COUNTIF('用胶项目'!$A$8:$A$207,E126)&lt;&gt;1),AND(F126&lt;&gt;"",COUNTIF('样品测试'!$A$8:$A$207,F126)&lt;&gt;1),AND(O126&lt;&gt;"",COUNTIF('沟通记录'!$A$8:$A$207,O126)&lt;&gt;1)),"检查编号或关联","正常"))</f>
        <v/>
      </c>
    </row>
    <row r="127" ht="34" customHeight="1">
      <c r="A127" s="32" t="n"/>
      <c r="B127" s="32" t="n"/>
      <c r="C127" s="16">
        <f>IF(B127="","",IF(COUNTIF('公司'!$A$8:$A$207,B127)&lt;&gt;1,"编号缺失或重复",INDEX('公司'!$B$8:$B$207,MATCH(B127,'公司'!$A$8:$A$207,0))))</f>
        <v/>
      </c>
      <c r="D127" s="32" t="n"/>
      <c r="E127" s="32" t="n"/>
      <c r="F127" s="32" t="n"/>
      <c r="G127" s="10" t="n"/>
      <c r="H127" s="10" t="n"/>
      <c r="I127" s="10" t="n"/>
      <c r="J127" s="33" t="n"/>
      <c r="K127" s="10" t="n"/>
      <c r="L127" s="10" t="n"/>
      <c r="M127" s="33" t="n"/>
      <c r="N127" s="10" t="n"/>
      <c r="O127" s="32" t="n"/>
      <c r="P127" s="16">
        <f>IF(A127="","",IF(L127="已取消","已取消",IF(L127="已完成",IF(OR(M127="",N127=""),"补完成证据","已完成"),IF(J127="","待定日期",IF(NOT(ISNUMBER(J127)),"检查日期",IF(J127&lt;'使用说明'!$B$5,"已逾期",IF(J127='使用说明'!$B$5,"今日跟进","待跟进")))))))</f>
        <v/>
      </c>
      <c r="Q127" s="16">
        <f>IF(A127="","",IF(OR(COUNTIF($A$8:$A$207,A127)&lt;&gt;1,COUNTIF('公司'!$A$8:$A$207,B127)&lt;&gt;1,AND(D127&lt;&gt;"",COUNTIF('联系人'!$A$8:$A$207,D127)&lt;&gt;1),AND(E127&lt;&gt;"",COUNTIF('用胶项目'!$A$8:$A$207,E127)&lt;&gt;1),AND(F127&lt;&gt;"",COUNTIF('样品测试'!$A$8:$A$207,F127)&lt;&gt;1),AND(O127&lt;&gt;"",COUNTIF('沟通记录'!$A$8:$A$207,O127)&lt;&gt;1)),"检查编号或关联","正常"))</f>
        <v/>
      </c>
    </row>
    <row r="128" ht="34" customHeight="1">
      <c r="A128" s="32" t="n"/>
      <c r="B128" s="32" t="n"/>
      <c r="C128" s="16">
        <f>IF(B128="","",IF(COUNTIF('公司'!$A$8:$A$207,B128)&lt;&gt;1,"编号缺失或重复",INDEX('公司'!$B$8:$B$207,MATCH(B128,'公司'!$A$8:$A$207,0))))</f>
        <v/>
      </c>
      <c r="D128" s="32" t="n"/>
      <c r="E128" s="32" t="n"/>
      <c r="F128" s="32" t="n"/>
      <c r="G128" s="10" t="n"/>
      <c r="H128" s="10" t="n"/>
      <c r="I128" s="10" t="n"/>
      <c r="J128" s="33" t="n"/>
      <c r="K128" s="10" t="n"/>
      <c r="L128" s="10" t="n"/>
      <c r="M128" s="33" t="n"/>
      <c r="N128" s="10" t="n"/>
      <c r="O128" s="32" t="n"/>
      <c r="P128" s="16">
        <f>IF(A128="","",IF(L128="已取消","已取消",IF(L128="已完成",IF(OR(M128="",N128=""),"补完成证据","已完成"),IF(J128="","待定日期",IF(NOT(ISNUMBER(J128)),"检查日期",IF(J128&lt;'使用说明'!$B$5,"已逾期",IF(J128='使用说明'!$B$5,"今日跟进","待跟进")))))))</f>
        <v/>
      </c>
      <c r="Q128" s="16">
        <f>IF(A128="","",IF(OR(COUNTIF($A$8:$A$207,A128)&lt;&gt;1,COUNTIF('公司'!$A$8:$A$207,B128)&lt;&gt;1,AND(D128&lt;&gt;"",COUNTIF('联系人'!$A$8:$A$207,D128)&lt;&gt;1),AND(E128&lt;&gt;"",COUNTIF('用胶项目'!$A$8:$A$207,E128)&lt;&gt;1),AND(F128&lt;&gt;"",COUNTIF('样品测试'!$A$8:$A$207,F128)&lt;&gt;1),AND(O128&lt;&gt;"",COUNTIF('沟通记录'!$A$8:$A$207,O128)&lt;&gt;1)),"检查编号或关联","正常"))</f>
        <v/>
      </c>
    </row>
    <row r="129" ht="34" customHeight="1">
      <c r="A129" s="32" t="n"/>
      <c r="B129" s="32" t="n"/>
      <c r="C129" s="16">
        <f>IF(B129="","",IF(COUNTIF('公司'!$A$8:$A$207,B129)&lt;&gt;1,"编号缺失或重复",INDEX('公司'!$B$8:$B$207,MATCH(B129,'公司'!$A$8:$A$207,0))))</f>
        <v/>
      </c>
      <c r="D129" s="32" t="n"/>
      <c r="E129" s="32" t="n"/>
      <c r="F129" s="32" t="n"/>
      <c r="G129" s="10" t="n"/>
      <c r="H129" s="10" t="n"/>
      <c r="I129" s="10" t="n"/>
      <c r="J129" s="33" t="n"/>
      <c r="K129" s="10" t="n"/>
      <c r="L129" s="10" t="n"/>
      <c r="M129" s="33" t="n"/>
      <c r="N129" s="10" t="n"/>
      <c r="O129" s="32" t="n"/>
      <c r="P129" s="16">
        <f>IF(A129="","",IF(L129="已取消","已取消",IF(L129="已完成",IF(OR(M129="",N129=""),"补完成证据","已完成"),IF(J129="","待定日期",IF(NOT(ISNUMBER(J129)),"检查日期",IF(J129&lt;'使用说明'!$B$5,"已逾期",IF(J129='使用说明'!$B$5,"今日跟进","待跟进")))))))</f>
        <v/>
      </c>
      <c r="Q129" s="16">
        <f>IF(A129="","",IF(OR(COUNTIF($A$8:$A$207,A129)&lt;&gt;1,COUNTIF('公司'!$A$8:$A$207,B129)&lt;&gt;1,AND(D129&lt;&gt;"",COUNTIF('联系人'!$A$8:$A$207,D129)&lt;&gt;1),AND(E129&lt;&gt;"",COUNTIF('用胶项目'!$A$8:$A$207,E129)&lt;&gt;1),AND(F129&lt;&gt;"",COUNTIF('样品测试'!$A$8:$A$207,F129)&lt;&gt;1),AND(O129&lt;&gt;"",COUNTIF('沟通记录'!$A$8:$A$207,O129)&lt;&gt;1)),"检查编号或关联","正常"))</f>
        <v/>
      </c>
    </row>
    <row r="130" ht="34" customHeight="1">
      <c r="A130" s="32" t="n"/>
      <c r="B130" s="32" t="n"/>
      <c r="C130" s="16">
        <f>IF(B130="","",IF(COUNTIF('公司'!$A$8:$A$207,B130)&lt;&gt;1,"编号缺失或重复",INDEX('公司'!$B$8:$B$207,MATCH(B130,'公司'!$A$8:$A$207,0))))</f>
        <v/>
      </c>
      <c r="D130" s="32" t="n"/>
      <c r="E130" s="32" t="n"/>
      <c r="F130" s="32" t="n"/>
      <c r="G130" s="10" t="n"/>
      <c r="H130" s="10" t="n"/>
      <c r="I130" s="10" t="n"/>
      <c r="J130" s="33" t="n"/>
      <c r="K130" s="10" t="n"/>
      <c r="L130" s="10" t="n"/>
      <c r="M130" s="33" t="n"/>
      <c r="N130" s="10" t="n"/>
      <c r="O130" s="32" t="n"/>
      <c r="P130" s="16">
        <f>IF(A130="","",IF(L130="已取消","已取消",IF(L130="已完成",IF(OR(M130="",N130=""),"补完成证据","已完成"),IF(J130="","待定日期",IF(NOT(ISNUMBER(J130)),"检查日期",IF(J130&lt;'使用说明'!$B$5,"已逾期",IF(J130='使用说明'!$B$5,"今日跟进","待跟进")))))))</f>
        <v/>
      </c>
      <c r="Q130" s="16">
        <f>IF(A130="","",IF(OR(COUNTIF($A$8:$A$207,A130)&lt;&gt;1,COUNTIF('公司'!$A$8:$A$207,B130)&lt;&gt;1,AND(D130&lt;&gt;"",COUNTIF('联系人'!$A$8:$A$207,D130)&lt;&gt;1),AND(E130&lt;&gt;"",COUNTIF('用胶项目'!$A$8:$A$207,E130)&lt;&gt;1),AND(F130&lt;&gt;"",COUNTIF('样品测试'!$A$8:$A$207,F130)&lt;&gt;1),AND(O130&lt;&gt;"",COUNTIF('沟通记录'!$A$8:$A$207,O130)&lt;&gt;1)),"检查编号或关联","正常"))</f>
        <v/>
      </c>
    </row>
    <row r="131" ht="34" customHeight="1">
      <c r="A131" s="32" t="n"/>
      <c r="B131" s="32" t="n"/>
      <c r="C131" s="16">
        <f>IF(B131="","",IF(COUNTIF('公司'!$A$8:$A$207,B131)&lt;&gt;1,"编号缺失或重复",INDEX('公司'!$B$8:$B$207,MATCH(B131,'公司'!$A$8:$A$207,0))))</f>
        <v/>
      </c>
      <c r="D131" s="32" t="n"/>
      <c r="E131" s="32" t="n"/>
      <c r="F131" s="32" t="n"/>
      <c r="G131" s="10" t="n"/>
      <c r="H131" s="10" t="n"/>
      <c r="I131" s="10" t="n"/>
      <c r="J131" s="33" t="n"/>
      <c r="K131" s="10" t="n"/>
      <c r="L131" s="10" t="n"/>
      <c r="M131" s="33" t="n"/>
      <c r="N131" s="10" t="n"/>
      <c r="O131" s="32" t="n"/>
      <c r="P131" s="16">
        <f>IF(A131="","",IF(L131="已取消","已取消",IF(L131="已完成",IF(OR(M131="",N131=""),"补完成证据","已完成"),IF(J131="","待定日期",IF(NOT(ISNUMBER(J131)),"检查日期",IF(J131&lt;'使用说明'!$B$5,"已逾期",IF(J131='使用说明'!$B$5,"今日跟进","待跟进")))))))</f>
        <v/>
      </c>
      <c r="Q131" s="16">
        <f>IF(A131="","",IF(OR(COUNTIF($A$8:$A$207,A131)&lt;&gt;1,COUNTIF('公司'!$A$8:$A$207,B131)&lt;&gt;1,AND(D131&lt;&gt;"",COUNTIF('联系人'!$A$8:$A$207,D131)&lt;&gt;1),AND(E131&lt;&gt;"",COUNTIF('用胶项目'!$A$8:$A$207,E131)&lt;&gt;1),AND(F131&lt;&gt;"",COUNTIF('样品测试'!$A$8:$A$207,F131)&lt;&gt;1),AND(O131&lt;&gt;"",COUNTIF('沟通记录'!$A$8:$A$207,O131)&lt;&gt;1)),"检查编号或关联","正常"))</f>
        <v/>
      </c>
    </row>
    <row r="132" ht="34" customHeight="1">
      <c r="A132" s="32" t="n"/>
      <c r="B132" s="32" t="n"/>
      <c r="C132" s="16">
        <f>IF(B132="","",IF(COUNTIF('公司'!$A$8:$A$207,B132)&lt;&gt;1,"编号缺失或重复",INDEX('公司'!$B$8:$B$207,MATCH(B132,'公司'!$A$8:$A$207,0))))</f>
        <v/>
      </c>
      <c r="D132" s="32" t="n"/>
      <c r="E132" s="32" t="n"/>
      <c r="F132" s="32" t="n"/>
      <c r="G132" s="10" t="n"/>
      <c r="H132" s="10" t="n"/>
      <c r="I132" s="10" t="n"/>
      <c r="J132" s="33" t="n"/>
      <c r="K132" s="10" t="n"/>
      <c r="L132" s="10" t="n"/>
      <c r="M132" s="33" t="n"/>
      <c r="N132" s="10" t="n"/>
      <c r="O132" s="32" t="n"/>
      <c r="P132" s="16">
        <f>IF(A132="","",IF(L132="已取消","已取消",IF(L132="已完成",IF(OR(M132="",N132=""),"补完成证据","已完成"),IF(J132="","待定日期",IF(NOT(ISNUMBER(J132)),"检查日期",IF(J132&lt;'使用说明'!$B$5,"已逾期",IF(J132='使用说明'!$B$5,"今日跟进","待跟进")))))))</f>
        <v/>
      </c>
      <c r="Q132" s="16">
        <f>IF(A132="","",IF(OR(COUNTIF($A$8:$A$207,A132)&lt;&gt;1,COUNTIF('公司'!$A$8:$A$207,B132)&lt;&gt;1,AND(D132&lt;&gt;"",COUNTIF('联系人'!$A$8:$A$207,D132)&lt;&gt;1),AND(E132&lt;&gt;"",COUNTIF('用胶项目'!$A$8:$A$207,E132)&lt;&gt;1),AND(F132&lt;&gt;"",COUNTIF('样品测试'!$A$8:$A$207,F132)&lt;&gt;1),AND(O132&lt;&gt;"",COUNTIF('沟通记录'!$A$8:$A$207,O132)&lt;&gt;1)),"检查编号或关联","正常"))</f>
        <v/>
      </c>
    </row>
    <row r="133" ht="34" customHeight="1">
      <c r="A133" s="32" t="n"/>
      <c r="B133" s="32" t="n"/>
      <c r="C133" s="16">
        <f>IF(B133="","",IF(COUNTIF('公司'!$A$8:$A$207,B133)&lt;&gt;1,"编号缺失或重复",INDEX('公司'!$B$8:$B$207,MATCH(B133,'公司'!$A$8:$A$207,0))))</f>
        <v/>
      </c>
      <c r="D133" s="32" t="n"/>
      <c r="E133" s="32" t="n"/>
      <c r="F133" s="32" t="n"/>
      <c r="G133" s="10" t="n"/>
      <c r="H133" s="10" t="n"/>
      <c r="I133" s="10" t="n"/>
      <c r="J133" s="33" t="n"/>
      <c r="K133" s="10" t="n"/>
      <c r="L133" s="10" t="n"/>
      <c r="M133" s="33" t="n"/>
      <c r="N133" s="10" t="n"/>
      <c r="O133" s="32" t="n"/>
      <c r="P133" s="16">
        <f>IF(A133="","",IF(L133="已取消","已取消",IF(L133="已完成",IF(OR(M133="",N133=""),"补完成证据","已完成"),IF(J133="","待定日期",IF(NOT(ISNUMBER(J133)),"检查日期",IF(J133&lt;'使用说明'!$B$5,"已逾期",IF(J133='使用说明'!$B$5,"今日跟进","待跟进")))))))</f>
        <v/>
      </c>
      <c r="Q133" s="16">
        <f>IF(A133="","",IF(OR(COUNTIF($A$8:$A$207,A133)&lt;&gt;1,COUNTIF('公司'!$A$8:$A$207,B133)&lt;&gt;1,AND(D133&lt;&gt;"",COUNTIF('联系人'!$A$8:$A$207,D133)&lt;&gt;1),AND(E133&lt;&gt;"",COUNTIF('用胶项目'!$A$8:$A$207,E133)&lt;&gt;1),AND(F133&lt;&gt;"",COUNTIF('样品测试'!$A$8:$A$207,F133)&lt;&gt;1),AND(O133&lt;&gt;"",COUNTIF('沟通记录'!$A$8:$A$207,O133)&lt;&gt;1)),"检查编号或关联","正常"))</f>
        <v/>
      </c>
    </row>
    <row r="134" ht="34" customHeight="1">
      <c r="A134" s="32" t="n"/>
      <c r="B134" s="32" t="n"/>
      <c r="C134" s="16">
        <f>IF(B134="","",IF(COUNTIF('公司'!$A$8:$A$207,B134)&lt;&gt;1,"编号缺失或重复",INDEX('公司'!$B$8:$B$207,MATCH(B134,'公司'!$A$8:$A$207,0))))</f>
        <v/>
      </c>
      <c r="D134" s="32" t="n"/>
      <c r="E134" s="32" t="n"/>
      <c r="F134" s="32" t="n"/>
      <c r="G134" s="10" t="n"/>
      <c r="H134" s="10" t="n"/>
      <c r="I134" s="10" t="n"/>
      <c r="J134" s="33" t="n"/>
      <c r="K134" s="10" t="n"/>
      <c r="L134" s="10" t="n"/>
      <c r="M134" s="33" t="n"/>
      <c r="N134" s="10" t="n"/>
      <c r="O134" s="32" t="n"/>
      <c r="P134" s="16">
        <f>IF(A134="","",IF(L134="已取消","已取消",IF(L134="已完成",IF(OR(M134="",N134=""),"补完成证据","已完成"),IF(J134="","待定日期",IF(NOT(ISNUMBER(J134)),"检查日期",IF(J134&lt;'使用说明'!$B$5,"已逾期",IF(J134='使用说明'!$B$5,"今日跟进","待跟进")))))))</f>
        <v/>
      </c>
      <c r="Q134" s="16">
        <f>IF(A134="","",IF(OR(COUNTIF($A$8:$A$207,A134)&lt;&gt;1,COUNTIF('公司'!$A$8:$A$207,B134)&lt;&gt;1,AND(D134&lt;&gt;"",COUNTIF('联系人'!$A$8:$A$207,D134)&lt;&gt;1),AND(E134&lt;&gt;"",COUNTIF('用胶项目'!$A$8:$A$207,E134)&lt;&gt;1),AND(F134&lt;&gt;"",COUNTIF('样品测试'!$A$8:$A$207,F134)&lt;&gt;1),AND(O134&lt;&gt;"",COUNTIF('沟通记录'!$A$8:$A$207,O134)&lt;&gt;1)),"检查编号或关联","正常"))</f>
        <v/>
      </c>
    </row>
    <row r="135" ht="34" customHeight="1">
      <c r="A135" s="32" t="n"/>
      <c r="B135" s="32" t="n"/>
      <c r="C135" s="16">
        <f>IF(B135="","",IF(COUNTIF('公司'!$A$8:$A$207,B135)&lt;&gt;1,"编号缺失或重复",INDEX('公司'!$B$8:$B$207,MATCH(B135,'公司'!$A$8:$A$207,0))))</f>
        <v/>
      </c>
      <c r="D135" s="32" t="n"/>
      <c r="E135" s="32" t="n"/>
      <c r="F135" s="32" t="n"/>
      <c r="G135" s="10" t="n"/>
      <c r="H135" s="10" t="n"/>
      <c r="I135" s="10" t="n"/>
      <c r="J135" s="33" t="n"/>
      <c r="K135" s="10" t="n"/>
      <c r="L135" s="10" t="n"/>
      <c r="M135" s="33" t="n"/>
      <c r="N135" s="10" t="n"/>
      <c r="O135" s="32" t="n"/>
      <c r="P135" s="16">
        <f>IF(A135="","",IF(L135="已取消","已取消",IF(L135="已完成",IF(OR(M135="",N135=""),"补完成证据","已完成"),IF(J135="","待定日期",IF(NOT(ISNUMBER(J135)),"检查日期",IF(J135&lt;'使用说明'!$B$5,"已逾期",IF(J135='使用说明'!$B$5,"今日跟进","待跟进")))))))</f>
        <v/>
      </c>
      <c r="Q135" s="16">
        <f>IF(A135="","",IF(OR(COUNTIF($A$8:$A$207,A135)&lt;&gt;1,COUNTIF('公司'!$A$8:$A$207,B135)&lt;&gt;1,AND(D135&lt;&gt;"",COUNTIF('联系人'!$A$8:$A$207,D135)&lt;&gt;1),AND(E135&lt;&gt;"",COUNTIF('用胶项目'!$A$8:$A$207,E135)&lt;&gt;1),AND(F135&lt;&gt;"",COUNTIF('样品测试'!$A$8:$A$207,F135)&lt;&gt;1),AND(O135&lt;&gt;"",COUNTIF('沟通记录'!$A$8:$A$207,O135)&lt;&gt;1)),"检查编号或关联","正常"))</f>
        <v/>
      </c>
    </row>
    <row r="136" ht="34" customHeight="1">
      <c r="A136" s="32" t="n"/>
      <c r="B136" s="32" t="n"/>
      <c r="C136" s="16">
        <f>IF(B136="","",IF(COUNTIF('公司'!$A$8:$A$207,B136)&lt;&gt;1,"编号缺失或重复",INDEX('公司'!$B$8:$B$207,MATCH(B136,'公司'!$A$8:$A$207,0))))</f>
        <v/>
      </c>
      <c r="D136" s="32" t="n"/>
      <c r="E136" s="32" t="n"/>
      <c r="F136" s="32" t="n"/>
      <c r="G136" s="10" t="n"/>
      <c r="H136" s="10" t="n"/>
      <c r="I136" s="10" t="n"/>
      <c r="J136" s="33" t="n"/>
      <c r="K136" s="10" t="n"/>
      <c r="L136" s="10" t="n"/>
      <c r="M136" s="33" t="n"/>
      <c r="N136" s="10" t="n"/>
      <c r="O136" s="32" t="n"/>
      <c r="P136" s="16">
        <f>IF(A136="","",IF(L136="已取消","已取消",IF(L136="已完成",IF(OR(M136="",N136=""),"补完成证据","已完成"),IF(J136="","待定日期",IF(NOT(ISNUMBER(J136)),"检查日期",IF(J136&lt;'使用说明'!$B$5,"已逾期",IF(J136='使用说明'!$B$5,"今日跟进","待跟进")))))))</f>
        <v/>
      </c>
      <c r="Q136" s="16">
        <f>IF(A136="","",IF(OR(COUNTIF($A$8:$A$207,A136)&lt;&gt;1,COUNTIF('公司'!$A$8:$A$207,B136)&lt;&gt;1,AND(D136&lt;&gt;"",COUNTIF('联系人'!$A$8:$A$207,D136)&lt;&gt;1),AND(E136&lt;&gt;"",COUNTIF('用胶项目'!$A$8:$A$207,E136)&lt;&gt;1),AND(F136&lt;&gt;"",COUNTIF('样品测试'!$A$8:$A$207,F136)&lt;&gt;1),AND(O136&lt;&gt;"",COUNTIF('沟通记录'!$A$8:$A$207,O136)&lt;&gt;1)),"检查编号或关联","正常"))</f>
        <v/>
      </c>
    </row>
    <row r="137" ht="34" customHeight="1">
      <c r="A137" s="32" t="n"/>
      <c r="B137" s="32" t="n"/>
      <c r="C137" s="16">
        <f>IF(B137="","",IF(COUNTIF('公司'!$A$8:$A$207,B137)&lt;&gt;1,"编号缺失或重复",INDEX('公司'!$B$8:$B$207,MATCH(B137,'公司'!$A$8:$A$207,0))))</f>
        <v/>
      </c>
      <c r="D137" s="32" t="n"/>
      <c r="E137" s="32" t="n"/>
      <c r="F137" s="32" t="n"/>
      <c r="G137" s="10" t="n"/>
      <c r="H137" s="10" t="n"/>
      <c r="I137" s="10" t="n"/>
      <c r="J137" s="33" t="n"/>
      <c r="K137" s="10" t="n"/>
      <c r="L137" s="10" t="n"/>
      <c r="M137" s="33" t="n"/>
      <c r="N137" s="10" t="n"/>
      <c r="O137" s="32" t="n"/>
      <c r="P137" s="16">
        <f>IF(A137="","",IF(L137="已取消","已取消",IF(L137="已完成",IF(OR(M137="",N137=""),"补完成证据","已完成"),IF(J137="","待定日期",IF(NOT(ISNUMBER(J137)),"检查日期",IF(J137&lt;'使用说明'!$B$5,"已逾期",IF(J137='使用说明'!$B$5,"今日跟进","待跟进")))))))</f>
        <v/>
      </c>
      <c r="Q137" s="16">
        <f>IF(A137="","",IF(OR(COUNTIF($A$8:$A$207,A137)&lt;&gt;1,COUNTIF('公司'!$A$8:$A$207,B137)&lt;&gt;1,AND(D137&lt;&gt;"",COUNTIF('联系人'!$A$8:$A$207,D137)&lt;&gt;1),AND(E137&lt;&gt;"",COUNTIF('用胶项目'!$A$8:$A$207,E137)&lt;&gt;1),AND(F137&lt;&gt;"",COUNTIF('样品测试'!$A$8:$A$207,F137)&lt;&gt;1),AND(O137&lt;&gt;"",COUNTIF('沟通记录'!$A$8:$A$207,O137)&lt;&gt;1)),"检查编号或关联","正常"))</f>
        <v/>
      </c>
    </row>
    <row r="138" ht="34" customHeight="1">
      <c r="A138" s="32" t="n"/>
      <c r="B138" s="32" t="n"/>
      <c r="C138" s="16">
        <f>IF(B138="","",IF(COUNTIF('公司'!$A$8:$A$207,B138)&lt;&gt;1,"编号缺失或重复",INDEX('公司'!$B$8:$B$207,MATCH(B138,'公司'!$A$8:$A$207,0))))</f>
        <v/>
      </c>
      <c r="D138" s="32" t="n"/>
      <c r="E138" s="32" t="n"/>
      <c r="F138" s="32" t="n"/>
      <c r="G138" s="10" t="n"/>
      <c r="H138" s="10" t="n"/>
      <c r="I138" s="10" t="n"/>
      <c r="J138" s="33" t="n"/>
      <c r="K138" s="10" t="n"/>
      <c r="L138" s="10" t="n"/>
      <c r="M138" s="33" t="n"/>
      <c r="N138" s="10" t="n"/>
      <c r="O138" s="32" t="n"/>
      <c r="P138" s="16">
        <f>IF(A138="","",IF(L138="已取消","已取消",IF(L138="已完成",IF(OR(M138="",N138=""),"补完成证据","已完成"),IF(J138="","待定日期",IF(NOT(ISNUMBER(J138)),"检查日期",IF(J138&lt;'使用说明'!$B$5,"已逾期",IF(J138='使用说明'!$B$5,"今日跟进","待跟进")))))))</f>
        <v/>
      </c>
      <c r="Q138" s="16">
        <f>IF(A138="","",IF(OR(COUNTIF($A$8:$A$207,A138)&lt;&gt;1,COUNTIF('公司'!$A$8:$A$207,B138)&lt;&gt;1,AND(D138&lt;&gt;"",COUNTIF('联系人'!$A$8:$A$207,D138)&lt;&gt;1),AND(E138&lt;&gt;"",COUNTIF('用胶项目'!$A$8:$A$207,E138)&lt;&gt;1),AND(F138&lt;&gt;"",COUNTIF('样品测试'!$A$8:$A$207,F138)&lt;&gt;1),AND(O138&lt;&gt;"",COUNTIF('沟通记录'!$A$8:$A$207,O138)&lt;&gt;1)),"检查编号或关联","正常"))</f>
        <v/>
      </c>
    </row>
    <row r="139" ht="34" customHeight="1">
      <c r="A139" s="32" t="n"/>
      <c r="B139" s="32" t="n"/>
      <c r="C139" s="16">
        <f>IF(B139="","",IF(COUNTIF('公司'!$A$8:$A$207,B139)&lt;&gt;1,"编号缺失或重复",INDEX('公司'!$B$8:$B$207,MATCH(B139,'公司'!$A$8:$A$207,0))))</f>
        <v/>
      </c>
      <c r="D139" s="32" t="n"/>
      <c r="E139" s="32" t="n"/>
      <c r="F139" s="32" t="n"/>
      <c r="G139" s="10" t="n"/>
      <c r="H139" s="10" t="n"/>
      <c r="I139" s="10" t="n"/>
      <c r="J139" s="33" t="n"/>
      <c r="K139" s="10" t="n"/>
      <c r="L139" s="10" t="n"/>
      <c r="M139" s="33" t="n"/>
      <c r="N139" s="10" t="n"/>
      <c r="O139" s="32" t="n"/>
      <c r="P139" s="16">
        <f>IF(A139="","",IF(L139="已取消","已取消",IF(L139="已完成",IF(OR(M139="",N139=""),"补完成证据","已完成"),IF(J139="","待定日期",IF(NOT(ISNUMBER(J139)),"检查日期",IF(J139&lt;'使用说明'!$B$5,"已逾期",IF(J139='使用说明'!$B$5,"今日跟进","待跟进")))))))</f>
        <v/>
      </c>
      <c r="Q139" s="16">
        <f>IF(A139="","",IF(OR(COUNTIF($A$8:$A$207,A139)&lt;&gt;1,COUNTIF('公司'!$A$8:$A$207,B139)&lt;&gt;1,AND(D139&lt;&gt;"",COUNTIF('联系人'!$A$8:$A$207,D139)&lt;&gt;1),AND(E139&lt;&gt;"",COUNTIF('用胶项目'!$A$8:$A$207,E139)&lt;&gt;1),AND(F139&lt;&gt;"",COUNTIF('样品测试'!$A$8:$A$207,F139)&lt;&gt;1),AND(O139&lt;&gt;"",COUNTIF('沟通记录'!$A$8:$A$207,O139)&lt;&gt;1)),"检查编号或关联","正常"))</f>
        <v/>
      </c>
    </row>
    <row r="140" ht="34" customHeight="1">
      <c r="A140" s="32" t="n"/>
      <c r="B140" s="32" t="n"/>
      <c r="C140" s="16">
        <f>IF(B140="","",IF(COUNTIF('公司'!$A$8:$A$207,B140)&lt;&gt;1,"编号缺失或重复",INDEX('公司'!$B$8:$B$207,MATCH(B140,'公司'!$A$8:$A$207,0))))</f>
        <v/>
      </c>
      <c r="D140" s="32" t="n"/>
      <c r="E140" s="32" t="n"/>
      <c r="F140" s="32" t="n"/>
      <c r="G140" s="10" t="n"/>
      <c r="H140" s="10" t="n"/>
      <c r="I140" s="10" t="n"/>
      <c r="J140" s="33" t="n"/>
      <c r="K140" s="10" t="n"/>
      <c r="L140" s="10" t="n"/>
      <c r="M140" s="33" t="n"/>
      <c r="N140" s="10" t="n"/>
      <c r="O140" s="32" t="n"/>
      <c r="P140" s="16">
        <f>IF(A140="","",IF(L140="已取消","已取消",IF(L140="已完成",IF(OR(M140="",N140=""),"补完成证据","已完成"),IF(J140="","待定日期",IF(NOT(ISNUMBER(J140)),"检查日期",IF(J140&lt;'使用说明'!$B$5,"已逾期",IF(J140='使用说明'!$B$5,"今日跟进","待跟进")))))))</f>
        <v/>
      </c>
      <c r="Q140" s="16">
        <f>IF(A140="","",IF(OR(COUNTIF($A$8:$A$207,A140)&lt;&gt;1,COUNTIF('公司'!$A$8:$A$207,B140)&lt;&gt;1,AND(D140&lt;&gt;"",COUNTIF('联系人'!$A$8:$A$207,D140)&lt;&gt;1),AND(E140&lt;&gt;"",COUNTIF('用胶项目'!$A$8:$A$207,E140)&lt;&gt;1),AND(F140&lt;&gt;"",COUNTIF('样品测试'!$A$8:$A$207,F140)&lt;&gt;1),AND(O140&lt;&gt;"",COUNTIF('沟通记录'!$A$8:$A$207,O140)&lt;&gt;1)),"检查编号或关联","正常"))</f>
        <v/>
      </c>
    </row>
    <row r="141" ht="34" customHeight="1">
      <c r="A141" s="32" t="n"/>
      <c r="B141" s="32" t="n"/>
      <c r="C141" s="16">
        <f>IF(B141="","",IF(COUNTIF('公司'!$A$8:$A$207,B141)&lt;&gt;1,"编号缺失或重复",INDEX('公司'!$B$8:$B$207,MATCH(B141,'公司'!$A$8:$A$207,0))))</f>
        <v/>
      </c>
      <c r="D141" s="32" t="n"/>
      <c r="E141" s="32" t="n"/>
      <c r="F141" s="32" t="n"/>
      <c r="G141" s="10" t="n"/>
      <c r="H141" s="10" t="n"/>
      <c r="I141" s="10" t="n"/>
      <c r="J141" s="33" t="n"/>
      <c r="K141" s="10" t="n"/>
      <c r="L141" s="10" t="n"/>
      <c r="M141" s="33" t="n"/>
      <c r="N141" s="10" t="n"/>
      <c r="O141" s="32" t="n"/>
      <c r="P141" s="16">
        <f>IF(A141="","",IF(L141="已取消","已取消",IF(L141="已完成",IF(OR(M141="",N141=""),"补完成证据","已完成"),IF(J141="","待定日期",IF(NOT(ISNUMBER(J141)),"检查日期",IF(J141&lt;'使用说明'!$B$5,"已逾期",IF(J141='使用说明'!$B$5,"今日跟进","待跟进")))))))</f>
        <v/>
      </c>
      <c r="Q141" s="16">
        <f>IF(A141="","",IF(OR(COUNTIF($A$8:$A$207,A141)&lt;&gt;1,COUNTIF('公司'!$A$8:$A$207,B141)&lt;&gt;1,AND(D141&lt;&gt;"",COUNTIF('联系人'!$A$8:$A$207,D141)&lt;&gt;1),AND(E141&lt;&gt;"",COUNTIF('用胶项目'!$A$8:$A$207,E141)&lt;&gt;1),AND(F141&lt;&gt;"",COUNTIF('样品测试'!$A$8:$A$207,F141)&lt;&gt;1),AND(O141&lt;&gt;"",COUNTIF('沟通记录'!$A$8:$A$207,O141)&lt;&gt;1)),"检查编号或关联","正常"))</f>
        <v/>
      </c>
    </row>
    <row r="142" ht="34" customHeight="1">
      <c r="A142" s="32" t="n"/>
      <c r="B142" s="32" t="n"/>
      <c r="C142" s="16">
        <f>IF(B142="","",IF(COUNTIF('公司'!$A$8:$A$207,B142)&lt;&gt;1,"编号缺失或重复",INDEX('公司'!$B$8:$B$207,MATCH(B142,'公司'!$A$8:$A$207,0))))</f>
        <v/>
      </c>
      <c r="D142" s="32" t="n"/>
      <c r="E142" s="32" t="n"/>
      <c r="F142" s="32" t="n"/>
      <c r="G142" s="10" t="n"/>
      <c r="H142" s="10" t="n"/>
      <c r="I142" s="10" t="n"/>
      <c r="J142" s="33" t="n"/>
      <c r="K142" s="10" t="n"/>
      <c r="L142" s="10" t="n"/>
      <c r="M142" s="33" t="n"/>
      <c r="N142" s="10" t="n"/>
      <c r="O142" s="32" t="n"/>
      <c r="P142" s="16">
        <f>IF(A142="","",IF(L142="已取消","已取消",IF(L142="已完成",IF(OR(M142="",N142=""),"补完成证据","已完成"),IF(J142="","待定日期",IF(NOT(ISNUMBER(J142)),"检查日期",IF(J142&lt;'使用说明'!$B$5,"已逾期",IF(J142='使用说明'!$B$5,"今日跟进","待跟进")))))))</f>
        <v/>
      </c>
      <c r="Q142" s="16">
        <f>IF(A142="","",IF(OR(COUNTIF($A$8:$A$207,A142)&lt;&gt;1,COUNTIF('公司'!$A$8:$A$207,B142)&lt;&gt;1,AND(D142&lt;&gt;"",COUNTIF('联系人'!$A$8:$A$207,D142)&lt;&gt;1),AND(E142&lt;&gt;"",COUNTIF('用胶项目'!$A$8:$A$207,E142)&lt;&gt;1),AND(F142&lt;&gt;"",COUNTIF('样品测试'!$A$8:$A$207,F142)&lt;&gt;1),AND(O142&lt;&gt;"",COUNTIF('沟通记录'!$A$8:$A$207,O142)&lt;&gt;1)),"检查编号或关联","正常"))</f>
        <v/>
      </c>
    </row>
    <row r="143" ht="34" customHeight="1">
      <c r="A143" s="32" t="n"/>
      <c r="B143" s="32" t="n"/>
      <c r="C143" s="16">
        <f>IF(B143="","",IF(COUNTIF('公司'!$A$8:$A$207,B143)&lt;&gt;1,"编号缺失或重复",INDEX('公司'!$B$8:$B$207,MATCH(B143,'公司'!$A$8:$A$207,0))))</f>
        <v/>
      </c>
      <c r="D143" s="32" t="n"/>
      <c r="E143" s="32" t="n"/>
      <c r="F143" s="32" t="n"/>
      <c r="G143" s="10" t="n"/>
      <c r="H143" s="10" t="n"/>
      <c r="I143" s="10" t="n"/>
      <c r="J143" s="33" t="n"/>
      <c r="K143" s="10" t="n"/>
      <c r="L143" s="10" t="n"/>
      <c r="M143" s="33" t="n"/>
      <c r="N143" s="10" t="n"/>
      <c r="O143" s="32" t="n"/>
      <c r="P143" s="16">
        <f>IF(A143="","",IF(L143="已取消","已取消",IF(L143="已完成",IF(OR(M143="",N143=""),"补完成证据","已完成"),IF(J143="","待定日期",IF(NOT(ISNUMBER(J143)),"检查日期",IF(J143&lt;'使用说明'!$B$5,"已逾期",IF(J143='使用说明'!$B$5,"今日跟进","待跟进")))))))</f>
        <v/>
      </c>
      <c r="Q143" s="16">
        <f>IF(A143="","",IF(OR(COUNTIF($A$8:$A$207,A143)&lt;&gt;1,COUNTIF('公司'!$A$8:$A$207,B143)&lt;&gt;1,AND(D143&lt;&gt;"",COUNTIF('联系人'!$A$8:$A$207,D143)&lt;&gt;1),AND(E143&lt;&gt;"",COUNTIF('用胶项目'!$A$8:$A$207,E143)&lt;&gt;1),AND(F143&lt;&gt;"",COUNTIF('样品测试'!$A$8:$A$207,F143)&lt;&gt;1),AND(O143&lt;&gt;"",COUNTIF('沟通记录'!$A$8:$A$207,O143)&lt;&gt;1)),"检查编号或关联","正常"))</f>
        <v/>
      </c>
    </row>
    <row r="144" ht="34" customHeight="1">
      <c r="A144" s="32" t="n"/>
      <c r="B144" s="32" t="n"/>
      <c r="C144" s="16">
        <f>IF(B144="","",IF(COUNTIF('公司'!$A$8:$A$207,B144)&lt;&gt;1,"编号缺失或重复",INDEX('公司'!$B$8:$B$207,MATCH(B144,'公司'!$A$8:$A$207,0))))</f>
        <v/>
      </c>
      <c r="D144" s="32" t="n"/>
      <c r="E144" s="32" t="n"/>
      <c r="F144" s="32" t="n"/>
      <c r="G144" s="10" t="n"/>
      <c r="H144" s="10" t="n"/>
      <c r="I144" s="10" t="n"/>
      <c r="J144" s="33" t="n"/>
      <c r="K144" s="10" t="n"/>
      <c r="L144" s="10" t="n"/>
      <c r="M144" s="33" t="n"/>
      <c r="N144" s="10" t="n"/>
      <c r="O144" s="32" t="n"/>
      <c r="P144" s="16">
        <f>IF(A144="","",IF(L144="已取消","已取消",IF(L144="已完成",IF(OR(M144="",N144=""),"补完成证据","已完成"),IF(J144="","待定日期",IF(NOT(ISNUMBER(J144)),"检查日期",IF(J144&lt;'使用说明'!$B$5,"已逾期",IF(J144='使用说明'!$B$5,"今日跟进","待跟进")))))))</f>
        <v/>
      </c>
      <c r="Q144" s="16">
        <f>IF(A144="","",IF(OR(COUNTIF($A$8:$A$207,A144)&lt;&gt;1,COUNTIF('公司'!$A$8:$A$207,B144)&lt;&gt;1,AND(D144&lt;&gt;"",COUNTIF('联系人'!$A$8:$A$207,D144)&lt;&gt;1),AND(E144&lt;&gt;"",COUNTIF('用胶项目'!$A$8:$A$207,E144)&lt;&gt;1),AND(F144&lt;&gt;"",COUNTIF('样品测试'!$A$8:$A$207,F144)&lt;&gt;1),AND(O144&lt;&gt;"",COUNTIF('沟通记录'!$A$8:$A$207,O144)&lt;&gt;1)),"检查编号或关联","正常"))</f>
        <v/>
      </c>
    </row>
    <row r="145" ht="34" customHeight="1">
      <c r="A145" s="32" t="n"/>
      <c r="B145" s="32" t="n"/>
      <c r="C145" s="16">
        <f>IF(B145="","",IF(COUNTIF('公司'!$A$8:$A$207,B145)&lt;&gt;1,"编号缺失或重复",INDEX('公司'!$B$8:$B$207,MATCH(B145,'公司'!$A$8:$A$207,0))))</f>
        <v/>
      </c>
      <c r="D145" s="32" t="n"/>
      <c r="E145" s="32" t="n"/>
      <c r="F145" s="32" t="n"/>
      <c r="G145" s="10" t="n"/>
      <c r="H145" s="10" t="n"/>
      <c r="I145" s="10" t="n"/>
      <c r="J145" s="33" t="n"/>
      <c r="K145" s="10" t="n"/>
      <c r="L145" s="10" t="n"/>
      <c r="M145" s="33" t="n"/>
      <c r="N145" s="10" t="n"/>
      <c r="O145" s="32" t="n"/>
      <c r="P145" s="16">
        <f>IF(A145="","",IF(L145="已取消","已取消",IF(L145="已完成",IF(OR(M145="",N145=""),"补完成证据","已完成"),IF(J145="","待定日期",IF(NOT(ISNUMBER(J145)),"检查日期",IF(J145&lt;'使用说明'!$B$5,"已逾期",IF(J145='使用说明'!$B$5,"今日跟进","待跟进")))))))</f>
        <v/>
      </c>
      <c r="Q145" s="16">
        <f>IF(A145="","",IF(OR(COUNTIF($A$8:$A$207,A145)&lt;&gt;1,COUNTIF('公司'!$A$8:$A$207,B145)&lt;&gt;1,AND(D145&lt;&gt;"",COUNTIF('联系人'!$A$8:$A$207,D145)&lt;&gt;1),AND(E145&lt;&gt;"",COUNTIF('用胶项目'!$A$8:$A$207,E145)&lt;&gt;1),AND(F145&lt;&gt;"",COUNTIF('样品测试'!$A$8:$A$207,F145)&lt;&gt;1),AND(O145&lt;&gt;"",COUNTIF('沟通记录'!$A$8:$A$207,O145)&lt;&gt;1)),"检查编号或关联","正常"))</f>
        <v/>
      </c>
    </row>
    <row r="146" ht="34" customHeight="1">
      <c r="A146" s="32" t="n"/>
      <c r="B146" s="32" t="n"/>
      <c r="C146" s="16">
        <f>IF(B146="","",IF(COUNTIF('公司'!$A$8:$A$207,B146)&lt;&gt;1,"编号缺失或重复",INDEX('公司'!$B$8:$B$207,MATCH(B146,'公司'!$A$8:$A$207,0))))</f>
        <v/>
      </c>
      <c r="D146" s="32" t="n"/>
      <c r="E146" s="32" t="n"/>
      <c r="F146" s="32" t="n"/>
      <c r="G146" s="10" t="n"/>
      <c r="H146" s="10" t="n"/>
      <c r="I146" s="10" t="n"/>
      <c r="J146" s="33" t="n"/>
      <c r="K146" s="10" t="n"/>
      <c r="L146" s="10" t="n"/>
      <c r="M146" s="33" t="n"/>
      <c r="N146" s="10" t="n"/>
      <c r="O146" s="32" t="n"/>
      <c r="P146" s="16">
        <f>IF(A146="","",IF(L146="已取消","已取消",IF(L146="已完成",IF(OR(M146="",N146=""),"补完成证据","已完成"),IF(J146="","待定日期",IF(NOT(ISNUMBER(J146)),"检查日期",IF(J146&lt;'使用说明'!$B$5,"已逾期",IF(J146='使用说明'!$B$5,"今日跟进","待跟进")))))))</f>
        <v/>
      </c>
      <c r="Q146" s="16">
        <f>IF(A146="","",IF(OR(COUNTIF($A$8:$A$207,A146)&lt;&gt;1,COUNTIF('公司'!$A$8:$A$207,B146)&lt;&gt;1,AND(D146&lt;&gt;"",COUNTIF('联系人'!$A$8:$A$207,D146)&lt;&gt;1),AND(E146&lt;&gt;"",COUNTIF('用胶项目'!$A$8:$A$207,E146)&lt;&gt;1),AND(F146&lt;&gt;"",COUNTIF('样品测试'!$A$8:$A$207,F146)&lt;&gt;1),AND(O146&lt;&gt;"",COUNTIF('沟通记录'!$A$8:$A$207,O146)&lt;&gt;1)),"检查编号或关联","正常"))</f>
        <v/>
      </c>
    </row>
    <row r="147" ht="34" customHeight="1">
      <c r="A147" s="32" t="n"/>
      <c r="B147" s="32" t="n"/>
      <c r="C147" s="16">
        <f>IF(B147="","",IF(COUNTIF('公司'!$A$8:$A$207,B147)&lt;&gt;1,"编号缺失或重复",INDEX('公司'!$B$8:$B$207,MATCH(B147,'公司'!$A$8:$A$207,0))))</f>
        <v/>
      </c>
      <c r="D147" s="32" t="n"/>
      <c r="E147" s="32" t="n"/>
      <c r="F147" s="32" t="n"/>
      <c r="G147" s="10" t="n"/>
      <c r="H147" s="10" t="n"/>
      <c r="I147" s="10" t="n"/>
      <c r="J147" s="33" t="n"/>
      <c r="K147" s="10" t="n"/>
      <c r="L147" s="10" t="n"/>
      <c r="M147" s="33" t="n"/>
      <c r="N147" s="10" t="n"/>
      <c r="O147" s="32" t="n"/>
      <c r="P147" s="16">
        <f>IF(A147="","",IF(L147="已取消","已取消",IF(L147="已完成",IF(OR(M147="",N147=""),"补完成证据","已完成"),IF(J147="","待定日期",IF(NOT(ISNUMBER(J147)),"检查日期",IF(J147&lt;'使用说明'!$B$5,"已逾期",IF(J147='使用说明'!$B$5,"今日跟进","待跟进")))))))</f>
        <v/>
      </c>
      <c r="Q147" s="16">
        <f>IF(A147="","",IF(OR(COUNTIF($A$8:$A$207,A147)&lt;&gt;1,COUNTIF('公司'!$A$8:$A$207,B147)&lt;&gt;1,AND(D147&lt;&gt;"",COUNTIF('联系人'!$A$8:$A$207,D147)&lt;&gt;1),AND(E147&lt;&gt;"",COUNTIF('用胶项目'!$A$8:$A$207,E147)&lt;&gt;1),AND(F147&lt;&gt;"",COUNTIF('样品测试'!$A$8:$A$207,F147)&lt;&gt;1),AND(O147&lt;&gt;"",COUNTIF('沟通记录'!$A$8:$A$207,O147)&lt;&gt;1)),"检查编号或关联","正常"))</f>
        <v/>
      </c>
    </row>
    <row r="148" ht="34" customHeight="1">
      <c r="A148" s="32" t="n"/>
      <c r="B148" s="32" t="n"/>
      <c r="C148" s="16">
        <f>IF(B148="","",IF(COUNTIF('公司'!$A$8:$A$207,B148)&lt;&gt;1,"编号缺失或重复",INDEX('公司'!$B$8:$B$207,MATCH(B148,'公司'!$A$8:$A$207,0))))</f>
        <v/>
      </c>
      <c r="D148" s="32" t="n"/>
      <c r="E148" s="32" t="n"/>
      <c r="F148" s="32" t="n"/>
      <c r="G148" s="10" t="n"/>
      <c r="H148" s="10" t="n"/>
      <c r="I148" s="10" t="n"/>
      <c r="J148" s="33" t="n"/>
      <c r="K148" s="10" t="n"/>
      <c r="L148" s="10" t="n"/>
      <c r="M148" s="33" t="n"/>
      <c r="N148" s="10" t="n"/>
      <c r="O148" s="32" t="n"/>
      <c r="P148" s="16">
        <f>IF(A148="","",IF(L148="已取消","已取消",IF(L148="已完成",IF(OR(M148="",N148=""),"补完成证据","已完成"),IF(J148="","待定日期",IF(NOT(ISNUMBER(J148)),"检查日期",IF(J148&lt;'使用说明'!$B$5,"已逾期",IF(J148='使用说明'!$B$5,"今日跟进","待跟进")))))))</f>
        <v/>
      </c>
      <c r="Q148" s="16">
        <f>IF(A148="","",IF(OR(COUNTIF($A$8:$A$207,A148)&lt;&gt;1,COUNTIF('公司'!$A$8:$A$207,B148)&lt;&gt;1,AND(D148&lt;&gt;"",COUNTIF('联系人'!$A$8:$A$207,D148)&lt;&gt;1),AND(E148&lt;&gt;"",COUNTIF('用胶项目'!$A$8:$A$207,E148)&lt;&gt;1),AND(F148&lt;&gt;"",COUNTIF('样品测试'!$A$8:$A$207,F148)&lt;&gt;1),AND(O148&lt;&gt;"",COUNTIF('沟通记录'!$A$8:$A$207,O148)&lt;&gt;1)),"检查编号或关联","正常"))</f>
        <v/>
      </c>
    </row>
    <row r="149" ht="34" customHeight="1">
      <c r="A149" s="32" t="n"/>
      <c r="B149" s="32" t="n"/>
      <c r="C149" s="16">
        <f>IF(B149="","",IF(COUNTIF('公司'!$A$8:$A$207,B149)&lt;&gt;1,"编号缺失或重复",INDEX('公司'!$B$8:$B$207,MATCH(B149,'公司'!$A$8:$A$207,0))))</f>
        <v/>
      </c>
      <c r="D149" s="32" t="n"/>
      <c r="E149" s="32" t="n"/>
      <c r="F149" s="32" t="n"/>
      <c r="G149" s="10" t="n"/>
      <c r="H149" s="10" t="n"/>
      <c r="I149" s="10" t="n"/>
      <c r="J149" s="33" t="n"/>
      <c r="K149" s="10" t="n"/>
      <c r="L149" s="10" t="n"/>
      <c r="M149" s="33" t="n"/>
      <c r="N149" s="10" t="n"/>
      <c r="O149" s="32" t="n"/>
      <c r="P149" s="16">
        <f>IF(A149="","",IF(L149="已取消","已取消",IF(L149="已完成",IF(OR(M149="",N149=""),"补完成证据","已完成"),IF(J149="","待定日期",IF(NOT(ISNUMBER(J149)),"检查日期",IF(J149&lt;'使用说明'!$B$5,"已逾期",IF(J149='使用说明'!$B$5,"今日跟进","待跟进")))))))</f>
        <v/>
      </c>
      <c r="Q149" s="16">
        <f>IF(A149="","",IF(OR(COUNTIF($A$8:$A$207,A149)&lt;&gt;1,COUNTIF('公司'!$A$8:$A$207,B149)&lt;&gt;1,AND(D149&lt;&gt;"",COUNTIF('联系人'!$A$8:$A$207,D149)&lt;&gt;1),AND(E149&lt;&gt;"",COUNTIF('用胶项目'!$A$8:$A$207,E149)&lt;&gt;1),AND(F149&lt;&gt;"",COUNTIF('样品测试'!$A$8:$A$207,F149)&lt;&gt;1),AND(O149&lt;&gt;"",COUNTIF('沟通记录'!$A$8:$A$207,O149)&lt;&gt;1)),"检查编号或关联","正常"))</f>
        <v/>
      </c>
    </row>
    <row r="150" ht="34" customHeight="1">
      <c r="A150" s="32" t="n"/>
      <c r="B150" s="32" t="n"/>
      <c r="C150" s="16">
        <f>IF(B150="","",IF(COUNTIF('公司'!$A$8:$A$207,B150)&lt;&gt;1,"编号缺失或重复",INDEX('公司'!$B$8:$B$207,MATCH(B150,'公司'!$A$8:$A$207,0))))</f>
        <v/>
      </c>
      <c r="D150" s="32" t="n"/>
      <c r="E150" s="32" t="n"/>
      <c r="F150" s="32" t="n"/>
      <c r="G150" s="10" t="n"/>
      <c r="H150" s="10" t="n"/>
      <c r="I150" s="10" t="n"/>
      <c r="J150" s="33" t="n"/>
      <c r="K150" s="10" t="n"/>
      <c r="L150" s="10" t="n"/>
      <c r="M150" s="33" t="n"/>
      <c r="N150" s="10" t="n"/>
      <c r="O150" s="32" t="n"/>
      <c r="P150" s="16">
        <f>IF(A150="","",IF(L150="已取消","已取消",IF(L150="已完成",IF(OR(M150="",N150=""),"补完成证据","已完成"),IF(J150="","待定日期",IF(NOT(ISNUMBER(J150)),"检查日期",IF(J150&lt;'使用说明'!$B$5,"已逾期",IF(J150='使用说明'!$B$5,"今日跟进","待跟进")))))))</f>
        <v/>
      </c>
      <c r="Q150" s="16">
        <f>IF(A150="","",IF(OR(COUNTIF($A$8:$A$207,A150)&lt;&gt;1,COUNTIF('公司'!$A$8:$A$207,B150)&lt;&gt;1,AND(D150&lt;&gt;"",COUNTIF('联系人'!$A$8:$A$207,D150)&lt;&gt;1),AND(E150&lt;&gt;"",COUNTIF('用胶项目'!$A$8:$A$207,E150)&lt;&gt;1),AND(F150&lt;&gt;"",COUNTIF('样品测试'!$A$8:$A$207,F150)&lt;&gt;1),AND(O150&lt;&gt;"",COUNTIF('沟通记录'!$A$8:$A$207,O150)&lt;&gt;1)),"检查编号或关联","正常"))</f>
        <v/>
      </c>
    </row>
    <row r="151" ht="34" customHeight="1">
      <c r="A151" s="32" t="n"/>
      <c r="B151" s="32" t="n"/>
      <c r="C151" s="16">
        <f>IF(B151="","",IF(COUNTIF('公司'!$A$8:$A$207,B151)&lt;&gt;1,"编号缺失或重复",INDEX('公司'!$B$8:$B$207,MATCH(B151,'公司'!$A$8:$A$207,0))))</f>
        <v/>
      </c>
      <c r="D151" s="32" t="n"/>
      <c r="E151" s="32" t="n"/>
      <c r="F151" s="32" t="n"/>
      <c r="G151" s="10" t="n"/>
      <c r="H151" s="10" t="n"/>
      <c r="I151" s="10" t="n"/>
      <c r="J151" s="33" t="n"/>
      <c r="K151" s="10" t="n"/>
      <c r="L151" s="10" t="n"/>
      <c r="M151" s="33" t="n"/>
      <c r="N151" s="10" t="n"/>
      <c r="O151" s="32" t="n"/>
      <c r="P151" s="16">
        <f>IF(A151="","",IF(L151="已取消","已取消",IF(L151="已完成",IF(OR(M151="",N151=""),"补完成证据","已完成"),IF(J151="","待定日期",IF(NOT(ISNUMBER(J151)),"检查日期",IF(J151&lt;'使用说明'!$B$5,"已逾期",IF(J151='使用说明'!$B$5,"今日跟进","待跟进")))))))</f>
        <v/>
      </c>
      <c r="Q151" s="16">
        <f>IF(A151="","",IF(OR(COUNTIF($A$8:$A$207,A151)&lt;&gt;1,COUNTIF('公司'!$A$8:$A$207,B151)&lt;&gt;1,AND(D151&lt;&gt;"",COUNTIF('联系人'!$A$8:$A$207,D151)&lt;&gt;1),AND(E151&lt;&gt;"",COUNTIF('用胶项目'!$A$8:$A$207,E151)&lt;&gt;1),AND(F151&lt;&gt;"",COUNTIF('样品测试'!$A$8:$A$207,F151)&lt;&gt;1),AND(O151&lt;&gt;"",COUNTIF('沟通记录'!$A$8:$A$207,O151)&lt;&gt;1)),"检查编号或关联","正常"))</f>
        <v/>
      </c>
    </row>
    <row r="152" ht="34" customHeight="1">
      <c r="A152" s="32" t="n"/>
      <c r="B152" s="32" t="n"/>
      <c r="C152" s="16">
        <f>IF(B152="","",IF(COUNTIF('公司'!$A$8:$A$207,B152)&lt;&gt;1,"编号缺失或重复",INDEX('公司'!$B$8:$B$207,MATCH(B152,'公司'!$A$8:$A$207,0))))</f>
        <v/>
      </c>
      <c r="D152" s="32" t="n"/>
      <c r="E152" s="32" t="n"/>
      <c r="F152" s="32" t="n"/>
      <c r="G152" s="10" t="n"/>
      <c r="H152" s="10" t="n"/>
      <c r="I152" s="10" t="n"/>
      <c r="J152" s="33" t="n"/>
      <c r="K152" s="10" t="n"/>
      <c r="L152" s="10" t="n"/>
      <c r="M152" s="33" t="n"/>
      <c r="N152" s="10" t="n"/>
      <c r="O152" s="32" t="n"/>
      <c r="P152" s="16">
        <f>IF(A152="","",IF(L152="已取消","已取消",IF(L152="已完成",IF(OR(M152="",N152=""),"补完成证据","已完成"),IF(J152="","待定日期",IF(NOT(ISNUMBER(J152)),"检查日期",IF(J152&lt;'使用说明'!$B$5,"已逾期",IF(J152='使用说明'!$B$5,"今日跟进","待跟进")))))))</f>
        <v/>
      </c>
      <c r="Q152" s="16">
        <f>IF(A152="","",IF(OR(COUNTIF($A$8:$A$207,A152)&lt;&gt;1,COUNTIF('公司'!$A$8:$A$207,B152)&lt;&gt;1,AND(D152&lt;&gt;"",COUNTIF('联系人'!$A$8:$A$207,D152)&lt;&gt;1),AND(E152&lt;&gt;"",COUNTIF('用胶项目'!$A$8:$A$207,E152)&lt;&gt;1),AND(F152&lt;&gt;"",COUNTIF('样品测试'!$A$8:$A$207,F152)&lt;&gt;1),AND(O152&lt;&gt;"",COUNTIF('沟通记录'!$A$8:$A$207,O152)&lt;&gt;1)),"检查编号或关联","正常"))</f>
        <v/>
      </c>
    </row>
    <row r="153" ht="34" customHeight="1">
      <c r="A153" s="32" t="n"/>
      <c r="B153" s="32" t="n"/>
      <c r="C153" s="16">
        <f>IF(B153="","",IF(COUNTIF('公司'!$A$8:$A$207,B153)&lt;&gt;1,"编号缺失或重复",INDEX('公司'!$B$8:$B$207,MATCH(B153,'公司'!$A$8:$A$207,0))))</f>
        <v/>
      </c>
      <c r="D153" s="32" t="n"/>
      <c r="E153" s="32" t="n"/>
      <c r="F153" s="32" t="n"/>
      <c r="G153" s="10" t="n"/>
      <c r="H153" s="10" t="n"/>
      <c r="I153" s="10" t="n"/>
      <c r="J153" s="33" t="n"/>
      <c r="K153" s="10" t="n"/>
      <c r="L153" s="10" t="n"/>
      <c r="M153" s="33" t="n"/>
      <c r="N153" s="10" t="n"/>
      <c r="O153" s="32" t="n"/>
      <c r="P153" s="16">
        <f>IF(A153="","",IF(L153="已取消","已取消",IF(L153="已完成",IF(OR(M153="",N153=""),"补完成证据","已完成"),IF(J153="","待定日期",IF(NOT(ISNUMBER(J153)),"检查日期",IF(J153&lt;'使用说明'!$B$5,"已逾期",IF(J153='使用说明'!$B$5,"今日跟进","待跟进")))))))</f>
        <v/>
      </c>
      <c r="Q153" s="16">
        <f>IF(A153="","",IF(OR(COUNTIF($A$8:$A$207,A153)&lt;&gt;1,COUNTIF('公司'!$A$8:$A$207,B153)&lt;&gt;1,AND(D153&lt;&gt;"",COUNTIF('联系人'!$A$8:$A$207,D153)&lt;&gt;1),AND(E153&lt;&gt;"",COUNTIF('用胶项目'!$A$8:$A$207,E153)&lt;&gt;1),AND(F153&lt;&gt;"",COUNTIF('样品测试'!$A$8:$A$207,F153)&lt;&gt;1),AND(O153&lt;&gt;"",COUNTIF('沟通记录'!$A$8:$A$207,O153)&lt;&gt;1)),"检查编号或关联","正常"))</f>
        <v/>
      </c>
    </row>
    <row r="154" ht="34" customHeight="1">
      <c r="A154" s="32" t="n"/>
      <c r="B154" s="32" t="n"/>
      <c r="C154" s="16">
        <f>IF(B154="","",IF(COUNTIF('公司'!$A$8:$A$207,B154)&lt;&gt;1,"编号缺失或重复",INDEX('公司'!$B$8:$B$207,MATCH(B154,'公司'!$A$8:$A$207,0))))</f>
        <v/>
      </c>
      <c r="D154" s="32" t="n"/>
      <c r="E154" s="32" t="n"/>
      <c r="F154" s="32" t="n"/>
      <c r="G154" s="10" t="n"/>
      <c r="H154" s="10" t="n"/>
      <c r="I154" s="10" t="n"/>
      <c r="J154" s="33" t="n"/>
      <c r="K154" s="10" t="n"/>
      <c r="L154" s="10" t="n"/>
      <c r="M154" s="33" t="n"/>
      <c r="N154" s="10" t="n"/>
      <c r="O154" s="32" t="n"/>
      <c r="P154" s="16">
        <f>IF(A154="","",IF(L154="已取消","已取消",IF(L154="已完成",IF(OR(M154="",N154=""),"补完成证据","已完成"),IF(J154="","待定日期",IF(NOT(ISNUMBER(J154)),"检查日期",IF(J154&lt;'使用说明'!$B$5,"已逾期",IF(J154='使用说明'!$B$5,"今日跟进","待跟进")))))))</f>
        <v/>
      </c>
      <c r="Q154" s="16">
        <f>IF(A154="","",IF(OR(COUNTIF($A$8:$A$207,A154)&lt;&gt;1,COUNTIF('公司'!$A$8:$A$207,B154)&lt;&gt;1,AND(D154&lt;&gt;"",COUNTIF('联系人'!$A$8:$A$207,D154)&lt;&gt;1),AND(E154&lt;&gt;"",COUNTIF('用胶项目'!$A$8:$A$207,E154)&lt;&gt;1),AND(F154&lt;&gt;"",COUNTIF('样品测试'!$A$8:$A$207,F154)&lt;&gt;1),AND(O154&lt;&gt;"",COUNTIF('沟通记录'!$A$8:$A$207,O154)&lt;&gt;1)),"检查编号或关联","正常"))</f>
        <v/>
      </c>
    </row>
    <row r="155" ht="34" customHeight="1">
      <c r="A155" s="32" t="n"/>
      <c r="B155" s="32" t="n"/>
      <c r="C155" s="16">
        <f>IF(B155="","",IF(COUNTIF('公司'!$A$8:$A$207,B155)&lt;&gt;1,"编号缺失或重复",INDEX('公司'!$B$8:$B$207,MATCH(B155,'公司'!$A$8:$A$207,0))))</f>
        <v/>
      </c>
      <c r="D155" s="32" t="n"/>
      <c r="E155" s="32" t="n"/>
      <c r="F155" s="32" t="n"/>
      <c r="G155" s="10" t="n"/>
      <c r="H155" s="10" t="n"/>
      <c r="I155" s="10" t="n"/>
      <c r="J155" s="33" t="n"/>
      <c r="K155" s="10" t="n"/>
      <c r="L155" s="10" t="n"/>
      <c r="M155" s="33" t="n"/>
      <c r="N155" s="10" t="n"/>
      <c r="O155" s="32" t="n"/>
      <c r="P155" s="16">
        <f>IF(A155="","",IF(L155="已取消","已取消",IF(L155="已完成",IF(OR(M155="",N155=""),"补完成证据","已完成"),IF(J155="","待定日期",IF(NOT(ISNUMBER(J155)),"检查日期",IF(J155&lt;'使用说明'!$B$5,"已逾期",IF(J155='使用说明'!$B$5,"今日跟进","待跟进")))))))</f>
        <v/>
      </c>
      <c r="Q155" s="16">
        <f>IF(A155="","",IF(OR(COUNTIF($A$8:$A$207,A155)&lt;&gt;1,COUNTIF('公司'!$A$8:$A$207,B155)&lt;&gt;1,AND(D155&lt;&gt;"",COUNTIF('联系人'!$A$8:$A$207,D155)&lt;&gt;1),AND(E155&lt;&gt;"",COUNTIF('用胶项目'!$A$8:$A$207,E155)&lt;&gt;1),AND(F155&lt;&gt;"",COUNTIF('样品测试'!$A$8:$A$207,F155)&lt;&gt;1),AND(O155&lt;&gt;"",COUNTIF('沟通记录'!$A$8:$A$207,O155)&lt;&gt;1)),"检查编号或关联","正常"))</f>
        <v/>
      </c>
    </row>
    <row r="156" ht="34" customHeight="1">
      <c r="A156" s="32" t="n"/>
      <c r="B156" s="32" t="n"/>
      <c r="C156" s="16">
        <f>IF(B156="","",IF(COUNTIF('公司'!$A$8:$A$207,B156)&lt;&gt;1,"编号缺失或重复",INDEX('公司'!$B$8:$B$207,MATCH(B156,'公司'!$A$8:$A$207,0))))</f>
        <v/>
      </c>
      <c r="D156" s="32" t="n"/>
      <c r="E156" s="32" t="n"/>
      <c r="F156" s="32" t="n"/>
      <c r="G156" s="10" t="n"/>
      <c r="H156" s="10" t="n"/>
      <c r="I156" s="10" t="n"/>
      <c r="J156" s="33" t="n"/>
      <c r="K156" s="10" t="n"/>
      <c r="L156" s="10" t="n"/>
      <c r="M156" s="33" t="n"/>
      <c r="N156" s="10" t="n"/>
      <c r="O156" s="32" t="n"/>
      <c r="P156" s="16">
        <f>IF(A156="","",IF(L156="已取消","已取消",IF(L156="已完成",IF(OR(M156="",N156=""),"补完成证据","已完成"),IF(J156="","待定日期",IF(NOT(ISNUMBER(J156)),"检查日期",IF(J156&lt;'使用说明'!$B$5,"已逾期",IF(J156='使用说明'!$B$5,"今日跟进","待跟进")))))))</f>
        <v/>
      </c>
      <c r="Q156" s="16">
        <f>IF(A156="","",IF(OR(COUNTIF($A$8:$A$207,A156)&lt;&gt;1,COUNTIF('公司'!$A$8:$A$207,B156)&lt;&gt;1,AND(D156&lt;&gt;"",COUNTIF('联系人'!$A$8:$A$207,D156)&lt;&gt;1),AND(E156&lt;&gt;"",COUNTIF('用胶项目'!$A$8:$A$207,E156)&lt;&gt;1),AND(F156&lt;&gt;"",COUNTIF('样品测试'!$A$8:$A$207,F156)&lt;&gt;1),AND(O156&lt;&gt;"",COUNTIF('沟通记录'!$A$8:$A$207,O156)&lt;&gt;1)),"检查编号或关联","正常"))</f>
        <v/>
      </c>
    </row>
    <row r="157" ht="34" customHeight="1">
      <c r="A157" s="32" t="n"/>
      <c r="B157" s="32" t="n"/>
      <c r="C157" s="16">
        <f>IF(B157="","",IF(COUNTIF('公司'!$A$8:$A$207,B157)&lt;&gt;1,"编号缺失或重复",INDEX('公司'!$B$8:$B$207,MATCH(B157,'公司'!$A$8:$A$207,0))))</f>
        <v/>
      </c>
      <c r="D157" s="32" t="n"/>
      <c r="E157" s="32" t="n"/>
      <c r="F157" s="32" t="n"/>
      <c r="G157" s="10" t="n"/>
      <c r="H157" s="10" t="n"/>
      <c r="I157" s="10" t="n"/>
      <c r="J157" s="33" t="n"/>
      <c r="K157" s="10" t="n"/>
      <c r="L157" s="10" t="n"/>
      <c r="M157" s="33" t="n"/>
      <c r="N157" s="10" t="n"/>
      <c r="O157" s="32" t="n"/>
      <c r="P157" s="16">
        <f>IF(A157="","",IF(L157="已取消","已取消",IF(L157="已完成",IF(OR(M157="",N157=""),"补完成证据","已完成"),IF(J157="","待定日期",IF(NOT(ISNUMBER(J157)),"检查日期",IF(J157&lt;'使用说明'!$B$5,"已逾期",IF(J157='使用说明'!$B$5,"今日跟进","待跟进")))))))</f>
        <v/>
      </c>
      <c r="Q157" s="16">
        <f>IF(A157="","",IF(OR(COUNTIF($A$8:$A$207,A157)&lt;&gt;1,COUNTIF('公司'!$A$8:$A$207,B157)&lt;&gt;1,AND(D157&lt;&gt;"",COUNTIF('联系人'!$A$8:$A$207,D157)&lt;&gt;1),AND(E157&lt;&gt;"",COUNTIF('用胶项目'!$A$8:$A$207,E157)&lt;&gt;1),AND(F157&lt;&gt;"",COUNTIF('样品测试'!$A$8:$A$207,F157)&lt;&gt;1),AND(O157&lt;&gt;"",COUNTIF('沟通记录'!$A$8:$A$207,O157)&lt;&gt;1)),"检查编号或关联","正常"))</f>
        <v/>
      </c>
    </row>
    <row r="158" ht="34" customHeight="1">
      <c r="A158" s="32" t="n"/>
      <c r="B158" s="32" t="n"/>
      <c r="C158" s="16">
        <f>IF(B158="","",IF(COUNTIF('公司'!$A$8:$A$207,B158)&lt;&gt;1,"编号缺失或重复",INDEX('公司'!$B$8:$B$207,MATCH(B158,'公司'!$A$8:$A$207,0))))</f>
        <v/>
      </c>
      <c r="D158" s="32" t="n"/>
      <c r="E158" s="32" t="n"/>
      <c r="F158" s="32" t="n"/>
      <c r="G158" s="10" t="n"/>
      <c r="H158" s="10" t="n"/>
      <c r="I158" s="10" t="n"/>
      <c r="J158" s="33" t="n"/>
      <c r="K158" s="10" t="n"/>
      <c r="L158" s="10" t="n"/>
      <c r="M158" s="33" t="n"/>
      <c r="N158" s="10" t="n"/>
      <c r="O158" s="32" t="n"/>
      <c r="P158" s="16">
        <f>IF(A158="","",IF(L158="已取消","已取消",IF(L158="已完成",IF(OR(M158="",N158=""),"补完成证据","已完成"),IF(J158="","待定日期",IF(NOT(ISNUMBER(J158)),"检查日期",IF(J158&lt;'使用说明'!$B$5,"已逾期",IF(J158='使用说明'!$B$5,"今日跟进","待跟进")))))))</f>
        <v/>
      </c>
      <c r="Q158" s="16">
        <f>IF(A158="","",IF(OR(COUNTIF($A$8:$A$207,A158)&lt;&gt;1,COUNTIF('公司'!$A$8:$A$207,B158)&lt;&gt;1,AND(D158&lt;&gt;"",COUNTIF('联系人'!$A$8:$A$207,D158)&lt;&gt;1),AND(E158&lt;&gt;"",COUNTIF('用胶项目'!$A$8:$A$207,E158)&lt;&gt;1),AND(F158&lt;&gt;"",COUNTIF('样品测试'!$A$8:$A$207,F158)&lt;&gt;1),AND(O158&lt;&gt;"",COUNTIF('沟通记录'!$A$8:$A$207,O158)&lt;&gt;1)),"检查编号或关联","正常"))</f>
        <v/>
      </c>
    </row>
    <row r="159" ht="34" customHeight="1">
      <c r="A159" s="32" t="n"/>
      <c r="B159" s="32" t="n"/>
      <c r="C159" s="16">
        <f>IF(B159="","",IF(COUNTIF('公司'!$A$8:$A$207,B159)&lt;&gt;1,"编号缺失或重复",INDEX('公司'!$B$8:$B$207,MATCH(B159,'公司'!$A$8:$A$207,0))))</f>
        <v/>
      </c>
      <c r="D159" s="32" t="n"/>
      <c r="E159" s="32" t="n"/>
      <c r="F159" s="32" t="n"/>
      <c r="G159" s="10" t="n"/>
      <c r="H159" s="10" t="n"/>
      <c r="I159" s="10" t="n"/>
      <c r="J159" s="33" t="n"/>
      <c r="K159" s="10" t="n"/>
      <c r="L159" s="10" t="n"/>
      <c r="M159" s="33" t="n"/>
      <c r="N159" s="10" t="n"/>
      <c r="O159" s="32" t="n"/>
      <c r="P159" s="16">
        <f>IF(A159="","",IF(L159="已取消","已取消",IF(L159="已完成",IF(OR(M159="",N159=""),"补完成证据","已完成"),IF(J159="","待定日期",IF(NOT(ISNUMBER(J159)),"检查日期",IF(J159&lt;'使用说明'!$B$5,"已逾期",IF(J159='使用说明'!$B$5,"今日跟进","待跟进")))))))</f>
        <v/>
      </c>
      <c r="Q159" s="16">
        <f>IF(A159="","",IF(OR(COUNTIF($A$8:$A$207,A159)&lt;&gt;1,COUNTIF('公司'!$A$8:$A$207,B159)&lt;&gt;1,AND(D159&lt;&gt;"",COUNTIF('联系人'!$A$8:$A$207,D159)&lt;&gt;1),AND(E159&lt;&gt;"",COUNTIF('用胶项目'!$A$8:$A$207,E159)&lt;&gt;1),AND(F159&lt;&gt;"",COUNTIF('样品测试'!$A$8:$A$207,F159)&lt;&gt;1),AND(O159&lt;&gt;"",COUNTIF('沟通记录'!$A$8:$A$207,O159)&lt;&gt;1)),"检查编号或关联","正常"))</f>
        <v/>
      </c>
    </row>
    <row r="160" ht="34" customHeight="1">
      <c r="A160" s="32" t="n"/>
      <c r="B160" s="32" t="n"/>
      <c r="C160" s="16">
        <f>IF(B160="","",IF(COUNTIF('公司'!$A$8:$A$207,B160)&lt;&gt;1,"编号缺失或重复",INDEX('公司'!$B$8:$B$207,MATCH(B160,'公司'!$A$8:$A$207,0))))</f>
        <v/>
      </c>
      <c r="D160" s="32" t="n"/>
      <c r="E160" s="32" t="n"/>
      <c r="F160" s="32" t="n"/>
      <c r="G160" s="10" t="n"/>
      <c r="H160" s="10" t="n"/>
      <c r="I160" s="10" t="n"/>
      <c r="J160" s="33" t="n"/>
      <c r="K160" s="10" t="n"/>
      <c r="L160" s="10" t="n"/>
      <c r="M160" s="33" t="n"/>
      <c r="N160" s="10" t="n"/>
      <c r="O160" s="32" t="n"/>
      <c r="P160" s="16">
        <f>IF(A160="","",IF(L160="已取消","已取消",IF(L160="已完成",IF(OR(M160="",N160=""),"补完成证据","已完成"),IF(J160="","待定日期",IF(NOT(ISNUMBER(J160)),"检查日期",IF(J160&lt;'使用说明'!$B$5,"已逾期",IF(J160='使用说明'!$B$5,"今日跟进","待跟进")))))))</f>
        <v/>
      </c>
      <c r="Q160" s="16">
        <f>IF(A160="","",IF(OR(COUNTIF($A$8:$A$207,A160)&lt;&gt;1,COUNTIF('公司'!$A$8:$A$207,B160)&lt;&gt;1,AND(D160&lt;&gt;"",COUNTIF('联系人'!$A$8:$A$207,D160)&lt;&gt;1),AND(E160&lt;&gt;"",COUNTIF('用胶项目'!$A$8:$A$207,E160)&lt;&gt;1),AND(F160&lt;&gt;"",COUNTIF('样品测试'!$A$8:$A$207,F160)&lt;&gt;1),AND(O160&lt;&gt;"",COUNTIF('沟通记录'!$A$8:$A$207,O160)&lt;&gt;1)),"检查编号或关联","正常"))</f>
        <v/>
      </c>
    </row>
    <row r="161" ht="34" customHeight="1">
      <c r="A161" s="32" t="n"/>
      <c r="B161" s="32" t="n"/>
      <c r="C161" s="16">
        <f>IF(B161="","",IF(COUNTIF('公司'!$A$8:$A$207,B161)&lt;&gt;1,"编号缺失或重复",INDEX('公司'!$B$8:$B$207,MATCH(B161,'公司'!$A$8:$A$207,0))))</f>
        <v/>
      </c>
      <c r="D161" s="32" t="n"/>
      <c r="E161" s="32" t="n"/>
      <c r="F161" s="32" t="n"/>
      <c r="G161" s="10" t="n"/>
      <c r="H161" s="10" t="n"/>
      <c r="I161" s="10" t="n"/>
      <c r="J161" s="33" t="n"/>
      <c r="K161" s="10" t="n"/>
      <c r="L161" s="10" t="n"/>
      <c r="M161" s="33" t="n"/>
      <c r="N161" s="10" t="n"/>
      <c r="O161" s="32" t="n"/>
      <c r="P161" s="16">
        <f>IF(A161="","",IF(L161="已取消","已取消",IF(L161="已完成",IF(OR(M161="",N161=""),"补完成证据","已完成"),IF(J161="","待定日期",IF(NOT(ISNUMBER(J161)),"检查日期",IF(J161&lt;'使用说明'!$B$5,"已逾期",IF(J161='使用说明'!$B$5,"今日跟进","待跟进")))))))</f>
        <v/>
      </c>
      <c r="Q161" s="16">
        <f>IF(A161="","",IF(OR(COUNTIF($A$8:$A$207,A161)&lt;&gt;1,COUNTIF('公司'!$A$8:$A$207,B161)&lt;&gt;1,AND(D161&lt;&gt;"",COUNTIF('联系人'!$A$8:$A$207,D161)&lt;&gt;1),AND(E161&lt;&gt;"",COUNTIF('用胶项目'!$A$8:$A$207,E161)&lt;&gt;1),AND(F161&lt;&gt;"",COUNTIF('样品测试'!$A$8:$A$207,F161)&lt;&gt;1),AND(O161&lt;&gt;"",COUNTIF('沟通记录'!$A$8:$A$207,O161)&lt;&gt;1)),"检查编号或关联","正常"))</f>
        <v/>
      </c>
    </row>
    <row r="162" ht="34" customHeight="1">
      <c r="A162" s="32" t="n"/>
      <c r="B162" s="32" t="n"/>
      <c r="C162" s="16">
        <f>IF(B162="","",IF(COUNTIF('公司'!$A$8:$A$207,B162)&lt;&gt;1,"编号缺失或重复",INDEX('公司'!$B$8:$B$207,MATCH(B162,'公司'!$A$8:$A$207,0))))</f>
        <v/>
      </c>
      <c r="D162" s="32" t="n"/>
      <c r="E162" s="32" t="n"/>
      <c r="F162" s="32" t="n"/>
      <c r="G162" s="10" t="n"/>
      <c r="H162" s="10" t="n"/>
      <c r="I162" s="10" t="n"/>
      <c r="J162" s="33" t="n"/>
      <c r="K162" s="10" t="n"/>
      <c r="L162" s="10" t="n"/>
      <c r="M162" s="33" t="n"/>
      <c r="N162" s="10" t="n"/>
      <c r="O162" s="32" t="n"/>
      <c r="P162" s="16">
        <f>IF(A162="","",IF(L162="已取消","已取消",IF(L162="已完成",IF(OR(M162="",N162=""),"补完成证据","已完成"),IF(J162="","待定日期",IF(NOT(ISNUMBER(J162)),"检查日期",IF(J162&lt;'使用说明'!$B$5,"已逾期",IF(J162='使用说明'!$B$5,"今日跟进","待跟进")))))))</f>
        <v/>
      </c>
      <c r="Q162" s="16">
        <f>IF(A162="","",IF(OR(COUNTIF($A$8:$A$207,A162)&lt;&gt;1,COUNTIF('公司'!$A$8:$A$207,B162)&lt;&gt;1,AND(D162&lt;&gt;"",COUNTIF('联系人'!$A$8:$A$207,D162)&lt;&gt;1),AND(E162&lt;&gt;"",COUNTIF('用胶项目'!$A$8:$A$207,E162)&lt;&gt;1),AND(F162&lt;&gt;"",COUNTIF('样品测试'!$A$8:$A$207,F162)&lt;&gt;1),AND(O162&lt;&gt;"",COUNTIF('沟通记录'!$A$8:$A$207,O162)&lt;&gt;1)),"检查编号或关联","正常"))</f>
        <v/>
      </c>
    </row>
    <row r="163" ht="34" customHeight="1">
      <c r="A163" s="32" t="n"/>
      <c r="B163" s="32" t="n"/>
      <c r="C163" s="16">
        <f>IF(B163="","",IF(COUNTIF('公司'!$A$8:$A$207,B163)&lt;&gt;1,"编号缺失或重复",INDEX('公司'!$B$8:$B$207,MATCH(B163,'公司'!$A$8:$A$207,0))))</f>
        <v/>
      </c>
      <c r="D163" s="32" t="n"/>
      <c r="E163" s="32" t="n"/>
      <c r="F163" s="32" t="n"/>
      <c r="G163" s="10" t="n"/>
      <c r="H163" s="10" t="n"/>
      <c r="I163" s="10" t="n"/>
      <c r="J163" s="33" t="n"/>
      <c r="K163" s="10" t="n"/>
      <c r="L163" s="10" t="n"/>
      <c r="M163" s="33" t="n"/>
      <c r="N163" s="10" t="n"/>
      <c r="O163" s="32" t="n"/>
      <c r="P163" s="16">
        <f>IF(A163="","",IF(L163="已取消","已取消",IF(L163="已完成",IF(OR(M163="",N163=""),"补完成证据","已完成"),IF(J163="","待定日期",IF(NOT(ISNUMBER(J163)),"检查日期",IF(J163&lt;'使用说明'!$B$5,"已逾期",IF(J163='使用说明'!$B$5,"今日跟进","待跟进")))))))</f>
        <v/>
      </c>
      <c r="Q163" s="16">
        <f>IF(A163="","",IF(OR(COUNTIF($A$8:$A$207,A163)&lt;&gt;1,COUNTIF('公司'!$A$8:$A$207,B163)&lt;&gt;1,AND(D163&lt;&gt;"",COUNTIF('联系人'!$A$8:$A$207,D163)&lt;&gt;1),AND(E163&lt;&gt;"",COUNTIF('用胶项目'!$A$8:$A$207,E163)&lt;&gt;1),AND(F163&lt;&gt;"",COUNTIF('样品测试'!$A$8:$A$207,F163)&lt;&gt;1),AND(O163&lt;&gt;"",COUNTIF('沟通记录'!$A$8:$A$207,O163)&lt;&gt;1)),"检查编号或关联","正常"))</f>
        <v/>
      </c>
    </row>
    <row r="164" ht="34" customHeight="1">
      <c r="A164" s="32" t="n"/>
      <c r="B164" s="32" t="n"/>
      <c r="C164" s="16">
        <f>IF(B164="","",IF(COUNTIF('公司'!$A$8:$A$207,B164)&lt;&gt;1,"编号缺失或重复",INDEX('公司'!$B$8:$B$207,MATCH(B164,'公司'!$A$8:$A$207,0))))</f>
        <v/>
      </c>
      <c r="D164" s="32" t="n"/>
      <c r="E164" s="32" t="n"/>
      <c r="F164" s="32" t="n"/>
      <c r="G164" s="10" t="n"/>
      <c r="H164" s="10" t="n"/>
      <c r="I164" s="10" t="n"/>
      <c r="J164" s="33" t="n"/>
      <c r="K164" s="10" t="n"/>
      <c r="L164" s="10" t="n"/>
      <c r="M164" s="33" t="n"/>
      <c r="N164" s="10" t="n"/>
      <c r="O164" s="32" t="n"/>
      <c r="P164" s="16">
        <f>IF(A164="","",IF(L164="已取消","已取消",IF(L164="已完成",IF(OR(M164="",N164=""),"补完成证据","已完成"),IF(J164="","待定日期",IF(NOT(ISNUMBER(J164)),"检查日期",IF(J164&lt;'使用说明'!$B$5,"已逾期",IF(J164='使用说明'!$B$5,"今日跟进","待跟进")))))))</f>
        <v/>
      </c>
      <c r="Q164" s="16">
        <f>IF(A164="","",IF(OR(COUNTIF($A$8:$A$207,A164)&lt;&gt;1,COUNTIF('公司'!$A$8:$A$207,B164)&lt;&gt;1,AND(D164&lt;&gt;"",COUNTIF('联系人'!$A$8:$A$207,D164)&lt;&gt;1),AND(E164&lt;&gt;"",COUNTIF('用胶项目'!$A$8:$A$207,E164)&lt;&gt;1),AND(F164&lt;&gt;"",COUNTIF('样品测试'!$A$8:$A$207,F164)&lt;&gt;1),AND(O164&lt;&gt;"",COUNTIF('沟通记录'!$A$8:$A$207,O164)&lt;&gt;1)),"检查编号或关联","正常"))</f>
        <v/>
      </c>
    </row>
    <row r="165" ht="34" customHeight="1">
      <c r="A165" s="32" t="n"/>
      <c r="B165" s="32" t="n"/>
      <c r="C165" s="16">
        <f>IF(B165="","",IF(COUNTIF('公司'!$A$8:$A$207,B165)&lt;&gt;1,"编号缺失或重复",INDEX('公司'!$B$8:$B$207,MATCH(B165,'公司'!$A$8:$A$207,0))))</f>
        <v/>
      </c>
      <c r="D165" s="32" t="n"/>
      <c r="E165" s="32" t="n"/>
      <c r="F165" s="32" t="n"/>
      <c r="G165" s="10" t="n"/>
      <c r="H165" s="10" t="n"/>
      <c r="I165" s="10" t="n"/>
      <c r="J165" s="33" t="n"/>
      <c r="K165" s="10" t="n"/>
      <c r="L165" s="10" t="n"/>
      <c r="M165" s="33" t="n"/>
      <c r="N165" s="10" t="n"/>
      <c r="O165" s="32" t="n"/>
      <c r="P165" s="16">
        <f>IF(A165="","",IF(L165="已取消","已取消",IF(L165="已完成",IF(OR(M165="",N165=""),"补完成证据","已完成"),IF(J165="","待定日期",IF(NOT(ISNUMBER(J165)),"检查日期",IF(J165&lt;'使用说明'!$B$5,"已逾期",IF(J165='使用说明'!$B$5,"今日跟进","待跟进")))))))</f>
        <v/>
      </c>
      <c r="Q165" s="16">
        <f>IF(A165="","",IF(OR(COUNTIF($A$8:$A$207,A165)&lt;&gt;1,COUNTIF('公司'!$A$8:$A$207,B165)&lt;&gt;1,AND(D165&lt;&gt;"",COUNTIF('联系人'!$A$8:$A$207,D165)&lt;&gt;1),AND(E165&lt;&gt;"",COUNTIF('用胶项目'!$A$8:$A$207,E165)&lt;&gt;1),AND(F165&lt;&gt;"",COUNTIF('样品测试'!$A$8:$A$207,F165)&lt;&gt;1),AND(O165&lt;&gt;"",COUNTIF('沟通记录'!$A$8:$A$207,O165)&lt;&gt;1)),"检查编号或关联","正常"))</f>
        <v/>
      </c>
    </row>
    <row r="166" ht="34" customHeight="1">
      <c r="A166" s="32" t="n"/>
      <c r="B166" s="32" t="n"/>
      <c r="C166" s="16">
        <f>IF(B166="","",IF(COUNTIF('公司'!$A$8:$A$207,B166)&lt;&gt;1,"编号缺失或重复",INDEX('公司'!$B$8:$B$207,MATCH(B166,'公司'!$A$8:$A$207,0))))</f>
        <v/>
      </c>
      <c r="D166" s="32" t="n"/>
      <c r="E166" s="32" t="n"/>
      <c r="F166" s="32" t="n"/>
      <c r="G166" s="10" t="n"/>
      <c r="H166" s="10" t="n"/>
      <c r="I166" s="10" t="n"/>
      <c r="J166" s="33" t="n"/>
      <c r="K166" s="10" t="n"/>
      <c r="L166" s="10" t="n"/>
      <c r="M166" s="33" t="n"/>
      <c r="N166" s="10" t="n"/>
      <c r="O166" s="32" t="n"/>
      <c r="P166" s="16">
        <f>IF(A166="","",IF(L166="已取消","已取消",IF(L166="已完成",IF(OR(M166="",N166=""),"补完成证据","已完成"),IF(J166="","待定日期",IF(NOT(ISNUMBER(J166)),"检查日期",IF(J166&lt;'使用说明'!$B$5,"已逾期",IF(J166='使用说明'!$B$5,"今日跟进","待跟进")))))))</f>
        <v/>
      </c>
      <c r="Q166" s="16">
        <f>IF(A166="","",IF(OR(COUNTIF($A$8:$A$207,A166)&lt;&gt;1,COUNTIF('公司'!$A$8:$A$207,B166)&lt;&gt;1,AND(D166&lt;&gt;"",COUNTIF('联系人'!$A$8:$A$207,D166)&lt;&gt;1),AND(E166&lt;&gt;"",COUNTIF('用胶项目'!$A$8:$A$207,E166)&lt;&gt;1),AND(F166&lt;&gt;"",COUNTIF('样品测试'!$A$8:$A$207,F166)&lt;&gt;1),AND(O166&lt;&gt;"",COUNTIF('沟通记录'!$A$8:$A$207,O166)&lt;&gt;1)),"检查编号或关联","正常"))</f>
        <v/>
      </c>
    </row>
    <row r="167" ht="34" customHeight="1">
      <c r="A167" s="32" t="n"/>
      <c r="B167" s="32" t="n"/>
      <c r="C167" s="16">
        <f>IF(B167="","",IF(COUNTIF('公司'!$A$8:$A$207,B167)&lt;&gt;1,"编号缺失或重复",INDEX('公司'!$B$8:$B$207,MATCH(B167,'公司'!$A$8:$A$207,0))))</f>
        <v/>
      </c>
      <c r="D167" s="32" t="n"/>
      <c r="E167" s="32" t="n"/>
      <c r="F167" s="32" t="n"/>
      <c r="G167" s="10" t="n"/>
      <c r="H167" s="10" t="n"/>
      <c r="I167" s="10" t="n"/>
      <c r="J167" s="33" t="n"/>
      <c r="K167" s="10" t="n"/>
      <c r="L167" s="10" t="n"/>
      <c r="M167" s="33" t="n"/>
      <c r="N167" s="10" t="n"/>
      <c r="O167" s="32" t="n"/>
      <c r="P167" s="16">
        <f>IF(A167="","",IF(L167="已取消","已取消",IF(L167="已完成",IF(OR(M167="",N167=""),"补完成证据","已完成"),IF(J167="","待定日期",IF(NOT(ISNUMBER(J167)),"检查日期",IF(J167&lt;'使用说明'!$B$5,"已逾期",IF(J167='使用说明'!$B$5,"今日跟进","待跟进")))))))</f>
        <v/>
      </c>
      <c r="Q167" s="16">
        <f>IF(A167="","",IF(OR(COUNTIF($A$8:$A$207,A167)&lt;&gt;1,COUNTIF('公司'!$A$8:$A$207,B167)&lt;&gt;1,AND(D167&lt;&gt;"",COUNTIF('联系人'!$A$8:$A$207,D167)&lt;&gt;1),AND(E167&lt;&gt;"",COUNTIF('用胶项目'!$A$8:$A$207,E167)&lt;&gt;1),AND(F167&lt;&gt;"",COUNTIF('样品测试'!$A$8:$A$207,F167)&lt;&gt;1),AND(O167&lt;&gt;"",COUNTIF('沟通记录'!$A$8:$A$207,O167)&lt;&gt;1)),"检查编号或关联","正常"))</f>
        <v/>
      </c>
    </row>
    <row r="168" ht="34" customHeight="1">
      <c r="A168" s="32" t="n"/>
      <c r="B168" s="32" t="n"/>
      <c r="C168" s="16">
        <f>IF(B168="","",IF(COUNTIF('公司'!$A$8:$A$207,B168)&lt;&gt;1,"编号缺失或重复",INDEX('公司'!$B$8:$B$207,MATCH(B168,'公司'!$A$8:$A$207,0))))</f>
        <v/>
      </c>
      <c r="D168" s="32" t="n"/>
      <c r="E168" s="32" t="n"/>
      <c r="F168" s="32" t="n"/>
      <c r="G168" s="10" t="n"/>
      <c r="H168" s="10" t="n"/>
      <c r="I168" s="10" t="n"/>
      <c r="J168" s="33" t="n"/>
      <c r="K168" s="10" t="n"/>
      <c r="L168" s="10" t="n"/>
      <c r="M168" s="33" t="n"/>
      <c r="N168" s="10" t="n"/>
      <c r="O168" s="32" t="n"/>
      <c r="P168" s="16">
        <f>IF(A168="","",IF(L168="已取消","已取消",IF(L168="已完成",IF(OR(M168="",N168=""),"补完成证据","已完成"),IF(J168="","待定日期",IF(NOT(ISNUMBER(J168)),"检查日期",IF(J168&lt;'使用说明'!$B$5,"已逾期",IF(J168='使用说明'!$B$5,"今日跟进","待跟进")))))))</f>
        <v/>
      </c>
      <c r="Q168" s="16">
        <f>IF(A168="","",IF(OR(COUNTIF($A$8:$A$207,A168)&lt;&gt;1,COUNTIF('公司'!$A$8:$A$207,B168)&lt;&gt;1,AND(D168&lt;&gt;"",COUNTIF('联系人'!$A$8:$A$207,D168)&lt;&gt;1),AND(E168&lt;&gt;"",COUNTIF('用胶项目'!$A$8:$A$207,E168)&lt;&gt;1),AND(F168&lt;&gt;"",COUNTIF('样品测试'!$A$8:$A$207,F168)&lt;&gt;1),AND(O168&lt;&gt;"",COUNTIF('沟通记录'!$A$8:$A$207,O168)&lt;&gt;1)),"检查编号或关联","正常"))</f>
        <v/>
      </c>
    </row>
    <row r="169" ht="34" customHeight="1">
      <c r="A169" s="32" t="n"/>
      <c r="B169" s="32" t="n"/>
      <c r="C169" s="16">
        <f>IF(B169="","",IF(COUNTIF('公司'!$A$8:$A$207,B169)&lt;&gt;1,"编号缺失或重复",INDEX('公司'!$B$8:$B$207,MATCH(B169,'公司'!$A$8:$A$207,0))))</f>
        <v/>
      </c>
      <c r="D169" s="32" t="n"/>
      <c r="E169" s="32" t="n"/>
      <c r="F169" s="32" t="n"/>
      <c r="G169" s="10" t="n"/>
      <c r="H169" s="10" t="n"/>
      <c r="I169" s="10" t="n"/>
      <c r="J169" s="33" t="n"/>
      <c r="K169" s="10" t="n"/>
      <c r="L169" s="10" t="n"/>
      <c r="M169" s="33" t="n"/>
      <c r="N169" s="10" t="n"/>
      <c r="O169" s="32" t="n"/>
      <c r="P169" s="16">
        <f>IF(A169="","",IF(L169="已取消","已取消",IF(L169="已完成",IF(OR(M169="",N169=""),"补完成证据","已完成"),IF(J169="","待定日期",IF(NOT(ISNUMBER(J169)),"检查日期",IF(J169&lt;'使用说明'!$B$5,"已逾期",IF(J169='使用说明'!$B$5,"今日跟进","待跟进")))))))</f>
        <v/>
      </c>
      <c r="Q169" s="16">
        <f>IF(A169="","",IF(OR(COUNTIF($A$8:$A$207,A169)&lt;&gt;1,COUNTIF('公司'!$A$8:$A$207,B169)&lt;&gt;1,AND(D169&lt;&gt;"",COUNTIF('联系人'!$A$8:$A$207,D169)&lt;&gt;1),AND(E169&lt;&gt;"",COUNTIF('用胶项目'!$A$8:$A$207,E169)&lt;&gt;1),AND(F169&lt;&gt;"",COUNTIF('样品测试'!$A$8:$A$207,F169)&lt;&gt;1),AND(O169&lt;&gt;"",COUNTIF('沟通记录'!$A$8:$A$207,O169)&lt;&gt;1)),"检查编号或关联","正常"))</f>
        <v/>
      </c>
    </row>
    <row r="170" ht="34" customHeight="1">
      <c r="A170" s="32" t="n"/>
      <c r="B170" s="32" t="n"/>
      <c r="C170" s="16">
        <f>IF(B170="","",IF(COUNTIF('公司'!$A$8:$A$207,B170)&lt;&gt;1,"编号缺失或重复",INDEX('公司'!$B$8:$B$207,MATCH(B170,'公司'!$A$8:$A$207,0))))</f>
        <v/>
      </c>
      <c r="D170" s="32" t="n"/>
      <c r="E170" s="32" t="n"/>
      <c r="F170" s="32" t="n"/>
      <c r="G170" s="10" t="n"/>
      <c r="H170" s="10" t="n"/>
      <c r="I170" s="10" t="n"/>
      <c r="J170" s="33" t="n"/>
      <c r="K170" s="10" t="n"/>
      <c r="L170" s="10" t="n"/>
      <c r="M170" s="33" t="n"/>
      <c r="N170" s="10" t="n"/>
      <c r="O170" s="32" t="n"/>
      <c r="P170" s="16">
        <f>IF(A170="","",IF(L170="已取消","已取消",IF(L170="已完成",IF(OR(M170="",N170=""),"补完成证据","已完成"),IF(J170="","待定日期",IF(NOT(ISNUMBER(J170)),"检查日期",IF(J170&lt;'使用说明'!$B$5,"已逾期",IF(J170='使用说明'!$B$5,"今日跟进","待跟进")))))))</f>
        <v/>
      </c>
      <c r="Q170" s="16">
        <f>IF(A170="","",IF(OR(COUNTIF($A$8:$A$207,A170)&lt;&gt;1,COUNTIF('公司'!$A$8:$A$207,B170)&lt;&gt;1,AND(D170&lt;&gt;"",COUNTIF('联系人'!$A$8:$A$207,D170)&lt;&gt;1),AND(E170&lt;&gt;"",COUNTIF('用胶项目'!$A$8:$A$207,E170)&lt;&gt;1),AND(F170&lt;&gt;"",COUNTIF('样品测试'!$A$8:$A$207,F170)&lt;&gt;1),AND(O170&lt;&gt;"",COUNTIF('沟通记录'!$A$8:$A$207,O170)&lt;&gt;1)),"检查编号或关联","正常"))</f>
        <v/>
      </c>
    </row>
    <row r="171" ht="34" customHeight="1">
      <c r="A171" s="32" t="n"/>
      <c r="B171" s="32" t="n"/>
      <c r="C171" s="16">
        <f>IF(B171="","",IF(COUNTIF('公司'!$A$8:$A$207,B171)&lt;&gt;1,"编号缺失或重复",INDEX('公司'!$B$8:$B$207,MATCH(B171,'公司'!$A$8:$A$207,0))))</f>
        <v/>
      </c>
      <c r="D171" s="32" t="n"/>
      <c r="E171" s="32" t="n"/>
      <c r="F171" s="32" t="n"/>
      <c r="G171" s="10" t="n"/>
      <c r="H171" s="10" t="n"/>
      <c r="I171" s="10" t="n"/>
      <c r="J171" s="33" t="n"/>
      <c r="K171" s="10" t="n"/>
      <c r="L171" s="10" t="n"/>
      <c r="M171" s="33" t="n"/>
      <c r="N171" s="10" t="n"/>
      <c r="O171" s="32" t="n"/>
      <c r="P171" s="16">
        <f>IF(A171="","",IF(L171="已取消","已取消",IF(L171="已完成",IF(OR(M171="",N171=""),"补完成证据","已完成"),IF(J171="","待定日期",IF(NOT(ISNUMBER(J171)),"检查日期",IF(J171&lt;'使用说明'!$B$5,"已逾期",IF(J171='使用说明'!$B$5,"今日跟进","待跟进")))))))</f>
        <v/>
      </c>
      <c r="Q171" s="16">
        <f>IF(A171="","",IF(OR(COUNTIF($A$8:$A$207,A171)&lt;&gt;1,COUNTIF('公司'!$A$8:$A$207,B171)&lt;&gt;1,AND(D171&lt;&gt;"",COUNTIF('联系人'!$A$8:$A$207,D171)&lt;&gt;1),AND(E171&lt;&gt;"",COUNTIF('用胶项目'!$A$8:$A$207,E171)&lt;&gt;1),AND(F171&lt;&gt;"",COUNTIF('样品测试'!$A$8:$A$207,F171)&lt;&gt;1),AND(O171&lt;&gt;"",COUNTIF('沟通记录'!$A$8:$A$207,O171)&lt;&gt;1)),"检查编号或关联","正常"))</f>
        <v/>
      </c>
    </row>
    <row r="172" ht="34" customHeight="1">
      <c r="A172" s="32" t="n"/>
      <c r="B172" s="32" t="n"/>
      <c r="C172" s="16">
        <f>IF(B172="","",IF(COUNTIF('公司'!$A$8:$A$207,B172)&lt;&gt;1,"编号缺失或重复",INDEX('公司'!$B$8:$B$207,MATCH(B172,'公司'!$A$8:$A$207,0))))</f>
        <v/>
      </c>
      <c r="D172" s="32" t="n"/>
      <c r="E172" s="32" t="n"/>
      <c r="F172" s="32" t="n"/>
      <c r="G172" s="10" t="n"/>
      <c r="H172" s="10" t="n"/>
      <c r="I172" s="10" t="n"/>
      <c r="J172" s="33" t="n"/>
      <c r="K172" s="10" t="n"/>
      <c r="L172" s="10" t="n"/>
      <c r="M172" s="33" t="n"/>
      <c r="N172" s="10" t="n"/>
      <c r="O172" s="32" t="n"/>
      <c r="P172" s="16">
        <f>IF(A172="","",IF(L172="已取消","已取消",IF(L172="已完成",IF(OR(M172="",N172=""),"补完成证据","已完成"),IF(J172="","待定日期",IF(NOT(ISNUMBER(J172)),"检查日期",IF(J172&lt;'使用说明'!$B$5,"已逾期",IF(J172='使用说明'!$B$5,"今日跟进","待跟进")))))))</f>
        <v/>
      </c>
      <c r="Q172" s="16">
        <f>IF(A172="","",IF(OR(COUNTIF($A$8:$A$207,A172)&lt;&gt;1,COUNTIF('公司'!$A$8:$A$207,B172)&lt;&gt;1,AND(D172&lt;&gt;"",COUNTIF('联系人'!$A$8:$A$207,D172)&lt;&gt;1),AND(E172&lt;&gt;"",COUNTIF('用胶项目'!$A$8:$A$207,E172)&lt;&gt;1),AND(F172&lt;&gt;"",COUNTIF('样品测试'!$A$8:$A$207,F172)&lt;&gt;1),AND(O172&lt;&gt;"",COUNTIF('沟通记录'!$A$8:$A$207,O172)&lt;&gt;1)),"检查编号或关联","正常"))</f>
        <v/>
      </c>
    </row>
    <row r="173" ht="34" customHeight="1">
      <c r="A173" s="32" t="n"/>
      <c r="B173" s="32" t="n"/>
      <c r="C173" s="16">
        <f>IF(B173="","",IF(COUNTIF('公司'!$A$8:$A$207,B173)&lt;&gt;1,"编号缺失或重复",INDEX('公司'!$B$8:$B$207,MATCH(B173,'公司'!$A$8:$A$207,0))))</f>
        <v/>
      </c>
      <c r="D173" s="32" t="n"/>
      <c r="E173" s="32" t="n"/>
      <c r="F173" s="32" t="n"/>
      <c r="G173" s="10" t="n"/>
      <c r="H173" s="10" t="n"/>
      <c r="I173" s="10" t="n"/>
      <c r="J173" s="33" t="n"/>
      <c r="K173" s="10" t="n"/>
      <c r="L173" s="10" t="n"/>
      <c r="M173" s="33" t="n"/>
      <c r="N173" s="10" t="n"/>
      <c r="O173" s="32" t="n"/>
      <c r="P173" s="16">
        <f>IF(A173="","",IF(L173="已取消","已取消",IF(L173="已完成",IF(OR(M173="",N173=""),"补完成证据","已完成"),IF(J173="","待定日期",IF(NOT(ISNUMBER(J173)),"检查日期",IF(J173&lt;'使用说明'!$B$5,"已逾期",IF(J173='使用说明'!$B$5,"今日跟进","待跟进")))))))</f>
        <v/>
      </c>
      <c r="Q173" s="16">
        <f>IF(A173="","",IF(OR(COUNTIF($A$8:$A$207,A173)&lt;&gt;1,COUNTIF('公司'!$A$8:$A$207,B173)&lt;&gt;1,AND(D173&lt;&gt;"",COUNTIF('联系人'!$A$8:$A$207,D173)&lt;&gt;1),AND(E173&lt;&gt;"",COUNTIF('用胶项目'!$A$8:$A$207,E173)&lt;&gt;1),AND(F173&lt;&gt;"",COUNTIF('样品测试'!$A$8:$A$207,F173)&lt;&gt;1),AND(O173&lt;&gt;"",COUNTIF('沟通记录'!$A$8:$A$207,O173)&lt;&gt;1)),"检查编号或关联","正常"))</f>
        <v/>
      </c>
    </row>
    <row r="174" ht="34" customHeight="1">
      <c r="A174" s="32" t="n"/>
      <c r="B174" s="32" t="n"/>
      <c r="C174" s="16">
        <f>IF(B174="","",IF(COUNTIF('公司'!$A$8:$A$207,B174)&lt;&gt;1,"编号缺失或重复",INDEX('公司'!$B$8:$B$207,MATCH(B174,'公司'!$A$8:$A$207,0))))</f>
        <v/>
      </c>
      <c r="D174" s="32" t="n"/>
      <c r="E174" s="32" t="n"/>
      <c r="F174" s="32" t="n"/>
      <c r="G174" s="10" t="n"/>
      <c r="H174" s="10" t="n"/>
      <c r="I174" s="10" t="n"/>
      <c r="J174" s="33" t="n"/>
      <c r="K174" s="10" t="n"/>
      <c r="L174" s="10" t="n"/>
      <c r="M174" s="33" t="n"/>
      <c r="N174" s="10" t="n"/>
      <c r="O174" s="32" t="n"/>
      <c r="P174" s="16">
        <f>IF(A174="","",IF(L174="已取消","已取消",IF(L174="已完成",IF(OR(M174="",N174=""),"补完成证据","已完成"),IF(J174="","待定日期",IF(NOT(ISNUMBER(J174)),"检查日期",IF(J174&lt;'使用说明'!$B$5,"已逾期",IF(J174='使用说明'!$B$5,"今日跟进","待跟进")))))))</f>
        <v/>
      </c>
      <c r="Q174" s="16">
        <f>IF(A174="","",IF(OR(COUNTIF($A$8:$A$207,A174)&lt;&gt;1,COUNTIF('公司'!$A$8:$A$207,B174)&lt;&gt;1,AND(D174&lt;&gt;"",COUNTIF('联系人'!$A$8:$A$207,D174)&lt;&gt;1),AND(E174&lt;&gt;"",COUNTIF('用胶项目'!$A$8:$A$207,E174)&lt;&gt;1),AND(F174&lt;&gt;"",COUNTIF('样品测试'!$A$8:$A$207,F174)&lt;&gt;1),AND(O174&lt;&gt;"",COUNTIF('沟通记录'!$A$8:$A$207,O174)&lt;&gt;1)),"检查编号或关联","正常"))</f>
        <v/>
      </c>
    </row>
    <row r="175" ht="34" customHeight="1">
      <c r="A175" s="32" t="n"/>
      <c r="B175" s="32" t="n"/>
      <c r="C175" s="16">
        <f>IF(B175="","",IF(COUNTIF('公司'!$A$8:$A$207,B175)&lt;&gt;1,"编号缺失或重复",INDEX('公司'!$B$8:$B$207,MATCH(B175,'公司'!$A$8:$A$207,0))))</f>
        <v/>
      </c>
      <c r="D175" s="32" t="n"/>
      <c r="E175" s="32" t="n"/>
      <c r="F175" s="32" t="n"/>
      <c r="G175" s="10" t="n"/>
      <c r="H175" s="10" t="n"/>
      <c r="I175" s="10" t="n"/>
      <c r="J175" s="33" t="n"/>
      <c r="K175" s="10" t="n"/>
      <c r="L175" s="10" t="n"/>
      <c r="M175" s="33" t="n"/>
      <c r="N175" s="10" t="n"/>
      <c r="O175" s="32" t="n"/>
      <c r="P175" s="16">
        <f>IF(A175="","",IF(L175="已取消","已取消",IF(L175="已完成",IF(OR(M175="",N175=""),"补完成证据","已完成"),IF(J175="","待定日期",IF(NOT(ISNUMBER(J175)),"检查日期",IF(J175&lt;'使用说明'!$B$5,"已逾期",IF(J175='使用说明'!$B$5,"今日跟进","待跟进")))))))</f>
        <v/>
      </c>
      <c r="Q175" s="16">
        <f>IF(A175="","",IF(OR(COUNTIF($A$8:$A$207,A175)&lt;&gt;1,COUNTIF('公司'!$A$8:$A$207,B175)&lt;&gt;1,AND(D175&lt;&gt;"",COUNTIF('联系人'!$A$8:$A$207,D175)&lt;&gt;1),AND(E175&lt;&gt;"",COUNTIF('用胶项目'!$A$8:$A$207,E175)&lt;&gt;1),AND(F175&lt;&gt;"",COUNTIF('样品测试'!$A$8:$A$207,F175)&lt;&gt;1),AND(O175&lt;&gt;"",COUNTIF('沟通记录'!$A$8:$A$207,O175)&lt;&gt;1)),"检查编号或关联","正常"))</f>
        <v/>
      </c>
    </row>
    <row r="176" ht="34" customHeight="1">
      <c r="A176" s="32" t="n"/>
      <c r="B176" s="32" t="n"/>
      <c r="C176" s="16">
        <f>IF(B176="","",IF(COUNTIF('公司'!$A$8:$A$207,B176)&lt;&gt;1,"编号缺失或重复",INDEX('公司'!$B$8:$B$207,MATCH(B176,'公司'!$A$8:$A$207,0))))</f>
        <v/>
      </c>
      <c r="D176" s="32" t="n"/>
      <c r="E176" s="32" t="n"/>
      <c r="F176" s="32" t="n"/>
      <c r="G176" s="10" t="n"/>
      <c r="H176" s="10" t="n"/>
      <c r="I176" s="10" t="n"/>
      <c r="J176" s="33" t="n"/>
      <c r="K176" s="10" t="n"/>
      <c r="L176" s="10" t="n"/>
      <c r="M176" s="33" t="n"/>
      <c r="N176" s="10" t="n"/>
      <c r="O176" s="32" t="n"/>
      <c r="P176" s="16">
        <f>IF(A176="","",IF(L176="已取消","已取消",IF(L176="已完成",IF(OR(M176="",N176=""),"补完成证据","已完成"),IF(J176="","待定日期",IF(NOT(ISNUMBER(J176)),"检查日期",IF(J176&lt;'使用说明'!$B$5,"已逾期",IF(J176='使用说明'!$B$5,"今日跟进","待跟进")))))))</f>
        <v/>
      </c>
      <c r="Q176" s="16">
        <f>IF(A176="","",IF(OR(COUNTIF($A$8:$A$207,A176)&lt;&gt;1,COUNTIF('公司'!$A$8:$A$207,B176)&lt;&gt;1,AND(D176&lt;&gt;"",COUNTIF('联系人'!$A$8:$A$207,D176)&lt;&gt;1),AND(E176&lt;&gt;"",COUNTIF('用胶项目'!$A$8:$A$207,E176)&lt;&gt;1),AND(F176&lt;&gt;"",COUNTIF('样品测试'!$A$8:$A$207,F176)&lt;&gt;1),AND(O176&lt;&gt;"",COUNTIF('沟通记录'!$A$8:$A$207,O176)&lt;&gt;1)),"检查编号或关联","正常"))</f>
        <v/>
      </c>
    </row>
    <row r="177" ht="34" customHeight="1">
      <c r="A177" s="32" t="n"/>
      <c r="B177" s="32" t="n"/>
      <c r="C177" s="16">
        <f>IF(B177="","",IF(COUNTIF('公司'!$A$8:$A$207,B177)&lt;&gt;1,"编号缺失或重复",INDEX('公司'!$B$8:$B$207,MATCH(B177,'公司'!$A$8:$A$207,0))))</f>
        <v/>
      </c>
      <c r="D177" s="32" t="n"/>
      <c r="E177" s="32" t="n"/>
      <c r="F177" s="32" t="n"/>
      <c r="G177" s="10" t="n"/>
      <c r="H177" s="10" t="n"/>
      <c r="I177" s="10" t="n"/>
      <c r="J177" s="33" t="n"/>
      <c r="K177" s="10" t="n"/>
      <c r="L177" s="10" t="n"/>
      <c r="M177" s="33" t="n"/>
      <c r="N177" s="10" t="n"/>
      <c r="O177" s="32" t="n"/>
      <c r="P177" s="16">
        <f>IF(A177="","",IF(L177="已取消","已取消",IF(L177="已完成",IF(OR(M177="",N177=""),"补完成证据","已完成"),IF(J177="","待定日期",IF(NOT(ISNUMBER(J177)),"检查日期",IF(J177&lt;'使用说明'!$B$5,"已逾期",IF(J177='使用说明'!$B$5,"今日跟进","待跟进")))))))</f>
        <v/>
      </c>
      <c r="Q177" s="16">
        <f>IF(A177="","",IF(OR(COUNTIF($A$8:$A$207,A177)&lt;&gt;1,COUNTIF('公司'!$A$8:$A$207,B177)&lt;&gt;1,AND(D177&lt;&gt;"",COUNTIF('联系人'!$A$8:$A$207,D177)&lt;&gt;1),AND(E177&lt;&gt;"",COUNTIF('用胶项目'!$A$8:$A$207,E177)&lt;&gt;1),AND(F177&lt;&gt;"",COUNTIF('样品测试'!$A$8:$A$207,F177)&lt;&gt;1),AND(O177&lt;&gt;"",COUNTIF('沟通记录'!$A$8:$A$207,O177)&lt;&gt;1)),"检查编号或关联","正常"))</f>
        <v/>
      </c>
    </row>
    <row r="178" ht="34" customHeight="1">
      <c r="A178" s="32" t="n"/>
      <c r="B178" s="32" t="n"/>
      <c r="C178" s="16">
        <f>IF(B178="","",IF(COUNTIF('公司'!$A$8:$A$207,B178)&lt;&gt;1,"编号缺失或重复",INDEX('公司'!$B$8:$B$207,MATCH(B178,'公司'!$A$8:$A$207,0))))</f>
        <v/>
      </c>
      <c r="D178" s="32" t="n"/>
      <c r="E178" s="32" t="n"/>
      <c r="F178" s="32" t="n"/>
      <c r="G178" s="10" t="n"/>
      <c r="H178" s="10" t="n"/>
      <c r="I178" s="10" t="n"/>
      <c r="J178" s="33" t="n"/>
      <c r="K178" s="10" t="n"/>
      <c r="L178" s="10" t="n"/>
      <c r="M178" s="33" t="n"/>
      <c r="N178" s="10" t="n"/>
      <c r="O178" s="32" t="n"/>
      <c r="P178" s="16">
        <f>IF(A178="","",IF(L178="已取消","已取消",IF(L178="已完成",IF(OR(M178="",N178=""),"补完成证据","已完成"),IF(J178="","待定日期",IF(NOT(ISNUMBER(J178)),"检查日期",IF(J178&lt;'使用说明'!$B$5,"已逾期",IF(J178='使用说明'!$B$5,"今日跟进","待跟进")))))))</f>
        <v/>
      </c>
      <c r="Q178" s="16">
        <f>IF(A178="","",IF(OR(COUNTIF($A$8:$A$207,A178)&lt;&gt;1,COUNTIF('公司'!$A$8:$A$207,B178)&lt;&gt;1,AND(D178&lt;&gt;"",COUNTIF('联系人'!$A$8:$A$207,D178)&lt;&gt;1),AND(E178&lt;&gt;"",COUNTIF('用胶项目'!$A$8:$A$207,E178)&lt;&gt;1),AND(F178&lt;&gt;"",COUNTIF('样品测试'!$A$8:$A$207,F178)&lt;&gt;1),AND(O178&lt;&gt;"",COUNTIF('沟通记录'!$A$8:$A$207,O178)&lt;&gt;1)),"检查编号或关联","正常"))</f>
        <v/>
      </c>
    </row>
    <row r="179" ht="34" customHeight="1">
      <c r="A179" s="32" t="n"/>
      <c r="B179" s="32" t="n"/>
      <c r="C179" s="16">
        <f>IF(B179="","",IF(COUNTIF('公司'!$A$8:$A$207,B179)&lt;&gt;1,"编号缺失或重复",INDEX('公司'!$B$8:$B$207,MATCH(B179,'公司'!$A$8:$A$207,0))))</f>
        <v/>
      </c>
      <c r="D179" s="32" t="n"/>
      <c r="E179" s="32" t="n"/>
      <c r="F179" s="32" t="n"/>
      <c r="G179" s="10" t="n"/>
      <c r="H179" s="10" t="n"/>
      <c r="I179" s="10" t="n"/>
      <c r="J179" s="33" t="n"/>
      <c r="K179" s="10" t="n"/>
      <c r="L179" s="10" t="n"/>
      <c r="M179" s="33" t="n"/>
      <c r="N179" s="10" t="n"/>
      <c r="O179" s="32" t="n"/>
      <c r="P179" s="16">
        <f>IF(A179="","",IF(L179="已取消","已取消",IF(L179="已完成",IF(OR(M179="",N179=""),"补完成证据","已完成"),IF(J179="","待定日期",IF(NOT(ISNUMBER(J179)),"检查日期",IF(J179&lt;'使用说明'!$B$5,"已逾期",IF(J179='使用说明'!$B$5,"今日跟进","待跟进")))))))</f>
        <v/>
      </c>
      <c r="Q179" s="16">
        <f>IF(A179="","",IF(OR(COUNTIF($A$8:$A$207,A179)&lt;&gt;1,COUNTIF('公司'!$A$8:$A$207,B179)&lt;&gt;1,AND(D179&lt;&gt;"",COUNTIF('联系人'!$A$8:$A$207,D179)&lt;&gt;1),AND(E179&lt;&gt;"",COUNTIF('用胶项目'!$A$8:$A$207,E179)&lt;&gt;1),AND(F179&lt;&gt;"",COUNTIF('样品测试'!$A$8:$A$207,F179)&lt;&gt;1),AND(O179&lt;&gt;"",COUNTIF('沟通记录'!$A$8:$A$207,O179)&lt;&gt;1)),"检查编号或关联","正常"))</f>
        <v/>
      </c>
    </row>
    <row r="180" ht="34" customHeight="1">
      <c r="A180" s="32" t="n"/>
      <c r="B180" s="32" t="n"/>
      <c r="C180" s="16">
        <f>IF(B180="","",IF(COUNTIF('公司'!$A$8:$A$207,B180)&lt;&gt;1,"编号缺失或重复",INDEX('公司'!$B$8:$B$207,MATCH(B180,'公司'!$A$8:$A$207,0))))</f>
        <v/>
      </c>
      <c r="D180" s="32" t="n"/>
      <c r="E180" s="32" t="n"/>
      <c r="F180" s="32" t="n"/>
      <c r="G180" s="10" t="n"/>
      <c r="H180" s="10" t="n"/>
      <c r="I180" s="10" t="n"/>
      <c r="J180" s="33" t="n"/>
      <c r="K180" s="10" t="n"/>
      <c r="L180" s="10" t="n"/>
      <c r="M180" s="33" t="n"/>
      <c r="N180" s="10" t="n"/>
      <c r="O180" s="32" t="n"/>
      <c r="P180" s="16">
        <f>IF(A180="","",IF(L180="已取消","已取消",IF(L180="已完成",IF(OR(M180="",N180=""),"补完成证据","已完成"),IF(J180="","待定日期",IF(NOT(ISNUMBER(J180)),"检查日期",IF(J180&lt;'使用说明'!$B$5,"已逾期",IF(J180='使用说明'!$B$5,"今日跟进","待跟进")))))))</f>
        <v/>
      </c>
      <c r="Q180" s="16">
        <f>IF(A180="","",IF(OR(COUNTIF($A$8:$A$207,A180)&lt;&gt;1,COUNTIF('公司'!$A$8:$A$207,B180)&lt;&gt;1,AND(D180&lt;&gt;"",COUNTIF('联系人'!$A$8:$A$207,D180)&lt;&gt;1),AND(E180&lt;&gt;"",COUNTIF('用胶项目'!$A$8:$A$207,E180)&lt;&gt;1),AND(F180&lt;&gt;"",COUNTIF('样品测试'!$A$8:$A$207,F180)&lt;&gt;1),AND(O180&lt;&gt;"",COUNTIF('沟通记录'!$A$8:$A$207,O180)&lt;&gt;1)),"检查编号或关联","正常"))</f>
        <v/>
      </c>
    </row>
    <row r="181" ht="34" customHeight="1">
      <c r="A181" s="32" t="n"/>
      <c r="B181" s="32" t="n"/>
      <c r="C181" s="16">
        <f>IF(B181="","",IF(COUNTIF('公司'!$A$8:$A$207,B181)&lt;&gt;1,"编号缺失或重复",INDEX('公司'!$B$8:$B$207,MATCH(B181,'公司'!$A$8:$A$207,0))))</f>
        <v/>
      </c>
      <c r="D181" s="32" t="n"/>
      <c r="E181" s="32" t="n"/>
      <c r="F181" s="32" t="n"/>
      <c r="G181" s="10" t="n"/>
      <c r="H181" s="10" t="n"/>
      <c r="I181" s="10" t="n"/>
      <c r="J181" s="33" t="n"/>
      <c r="K181" s="10" t="n"/>
      <c r="L181" s="10" t="n"/>
      <c r="M181" s="33" t="n"/>
      <c r="N181" s="10" t="n"/>
      <c r="O181" s="32" t="n"/>
      <c r="P181" s="16">
        <f>IF(A181="","",IF(L181="已取消","已取消",IF(L181="已完成",IF(OR(M181="",N181=""),"补完成证据","已完成"),IF(J181="","待定日期",IF(NOT(ISNUMBER(J181)),"检查日期",IF(J181&lt;'使用说明'!$B$5,"已逾期",IF(J181='使用说明'!$B$5,"今日跟进","待跟进")))))))</f>
        <v/>
      </c>
      <c r="Q181" s="16">
        <f>IF(A181="","",IF(OR(COUNTIF($A$8:$A$207,A181)&lt;&gt;1,COUNTIF('公司'!$A$8:$A$207,B181)&lt;&gt;1,AND(D181&lt;&gt;"",COUNTIF('联系人'!$A$8:$A$207,D181)&lt;&gt;1),AND(E181&lt;&gt;"",COUNTIF('用胶项目'!$A$8:$A$207,E181)&lt;&gt;1),AND(F181&lt;&gt;"",COUNTIF('样品测试'!$A$8:$A$207,F181)&lt;&gt;1),AND(O181&lt;&gt;"",COUNTIF('沟通记录'!$A$8:$A$207,O181)&lt;&gt;1)),"检查编号或关联","正常"))</f>
        <v/>
      </c>
    </row>
    <row r="182" ht="34" customHeight="1">
      <c r="A182" s="32" t="n"/>
      <c r="B182" s="32" t="n"/>
      <c r="C182" s="16">
        <f>IF(B182="","",IF(COUNTIF('公司'!$A$8:$A$207,B182)&lt;&gt;1,"编号缺失或重复",INDEX('公司'!$B$8:$B$207,MATCH(B182,'公司'!$A$8:$A$207,0))))</f>
        <v/>
      </c>
      <c r="D182" s="32" t="n"/>
      <c r="E182" s="32" t="n"/>
      <c r="F182" s="32" t="n"/>
      <c r="G182" s="10" t="n"/>
      <c r="H182" s="10" t="n"/>
      <c r="I182" s="10" t="n"/>
      <c r="J182" s="33" t="n"/>
      <c r="K182" s="10" t="n"/>
      <c r="L182" s="10" t="n"/>
      <c r="M182" s="33" t="n"/>
      <c r="N182" s="10" t="n"/>
      <c r="O182" s="32" t="n"/>
      <c r="P182" s="16">
        <f>IF(A182="","",IF(L182="已取消","已取消",IF(L182="已完成",IF(OR(M182="",N182=""),"补完成证据","已完成"),IF(J182="","待定日期",IF(NOT(ISNUMBER(J182)),"检查日期",IF(J182&lt;'使用说明'!$B$5,"已逾期",IF(J182='使用说明'!$B$5,"今日跟进","待跟进")))))))</f>
        <v/>
      </c>
      <c r="Q182" s="16">
        <f>IF(A182="","",IF(OR(COUNTIF($A$8:$A$207,A182)&lt;&gt;1,COUNTIF('公司'!$A$8:$A$207,B182)&lt;&gt;1,AND(D182&lt;&gt;"",COUNTIF('联系人'!$A$8:$A$207,D182)&lt;&gt;1),AND(E182&lt;&gt;"",COUNTIF('用胶项目'!$A$8:$A$207,E182)&lt;&gt;1),AND(F182&lt;&gt;"",COUNTIF('样品测试'!$A$8:$A$207,F182)&lt;&gt;1),AND(O182&lt;&gt;"",COUNTIF('沟通记录'!$A$8:$A$207,O182)&lt;&gt;1)),"检查编号或关联","正常"))</f>
        <v/>
      </c>
    </row>
    <row r="183" ht="34" customHeight="1">
      <c r="A183" s="32" t="n"/>
      <c r="B183" s="32" t="n"/>
      <c r="C183" s="16">
        <f>IF(B183="","",IF(COUNTIF('公司'!$A$8:$A$207,B183)&lt;&gt;1,"编号缺失或重复",INDEX('公司'!$B$8:$B$207,MATCH(B183,'公司'!$A$8:$A$207,0))))</f>
        <v/>
      </c>
      <c r="D183" s="32" t="n"/>
      <c r="E183" s="32" t="n"/>
      <c r="F183" s="32" t="n"/>
      <c r="G183" s="10" t="n"/>
      <c r="H183" s="10" t="n"/>
      <c r="I183" s="10" t="n"/>
      <c r="J183" s="33" t="n"/>
      <c r="K183" s="10" t="n"/>
      <c r="L183" s="10" t="n"/>
      <c r="M183" s="33" t="n"/>
      <c r="N183" s="10" t="n"/>
      <c r="O183" s="32" t="n"/>
      <c r="P183" s="16">
        <f>IF(A183="","",IF(L183="已取消","已取消",IF(L183="已完成",IF(OR(M183="",N183=""),"补完成证据","已完成"),IF(J183="","待定日期",IF(NOT(ISNUMBER(J183)),"检查日期",IF(J183&lt;'使用说明'!$B$5,"已逾期",IF(J183='使用说明'!$B$5,"今日跟进","待跟进")))))))</f>
        <v/>
      </c>
      <c r="Q183" s="16">
        <f>IF(A183="","",IF(OR(COUNTIF($A$8:$A$207,A183)&lt;&gt;1,COUNTIF('公司'!$A$8:$A$207,B183)&lt;&gt;1,AND(D183&lt;&gt;"",COUNTIF('联系人'!$A$8:$A$207,D183)&lt;&gt;1),AND(E183&lt;&gt;"",COUNTIF('用胶项目'!$A$8:$A$207,E183)&lt;&gt;1),AND(F183&lt;&gt;"",COUNTIF('样品测试'!$A$8:$A$207,F183)&lt;&gt;1),AND(O183&lt;&gt;"",COUNTIF('沟通记录'!$A$8:$A$207,O183)&lt;&gt;1)),"检查编号或关联","正常"))</f>
        <v/>
      </c>
    </row>
    <row r="184" ht="34" customHeight="1">
      <c r="A184" s="32" t="n"/>
      <c r="B184" s="32" t="n"/>
      <c r="C184" s="16">
        <f>IF(B184="","",IF(COUNTIF('公司'!$A$8:$A$207,B184)&lt;&gt;1,"编号缺失或重复",INDEX('公司'!$B$8:$B$207,MATCH(B184,'公司'!$A$8:$A$207,0))))</f>
        <v/>
      </c>
      <c r="D184" s="32" t="n"/>
      <c r="E184" s="32" t="n"/>
      <c r="F184" s="32" t="n"/>
      <c r="G184" s="10" t="n"/>
      <c r="H184" s="10" t="n"/>
      <c r="I184" s="10" t="n"/>
      <c r="J184" s="33" t="n"/>
      <c r="K184" s="10" t="n"/>
      <c r="L184" s="10" t="n"/>
      <c r="M184" s="33" t="n"/>
      <c r="N184" s="10" t="n"/>
      <c r="O184" s="32" t="n"/>
      <c r="P184" s="16">
        <f>IF(A184="","",IF(L184="已取消","已取消",IF(L184="已完成",IF(OR(M184="",N184=""),"补完成证据","已完成"),IF(J184="","待定日期",IF(NOT(ISNUMBER(J184)),"检查日期",IF(J184&lt;'使用说明'!$B$5,"已逾期",IF(J184='使用说明'!$B$5,"今日跟进","待跟进")))))))</f>
        <v/>
      </c>
      <c r="Q184" s="16">
        <f>IF(A184="","",IF(OR(COUNTIF($A$8:$A$207,A184)&lt;&gt;1,COUNTIF('公司'!$A$8:$A$207,B184)&lt;&gt;1,AND(D184&lt;&gt;"",COUNTIF('联系人'!$A$8:$A$207,D184)&lt;&gt;1),AND(E184&lt;&gt;"",COUNTIF('用胶项目'!$A$8:$A$207,E184)&lt;&gt;1),AND(F184&lt;&gt;"",COUNTIF('样品测试'!$A$8:$A$207,F184)&lt;&gt;1),AND(O184&lt;&gt;"",COUNTIF('沟通记录'!$A$8:$A$207,O184)&lt;&gt;1)),"检查编号或关联","正常"))</f>
        <v/>
      </c>
    </row>
    <row r="185" ht="34" customHeight="1">
      <c r="A185" s="32" t="n"/>
      <c r="B185" s="32" t="n"/>
      <c r="C185" s="16">
        <f>IF(B185="","",IF(COUNTIF('公司'!$A$8:$A$207,B185)&lt;&gt;1,"编号缺失或重复",INDEX('公司'!$B$8:$B$207,MATCH(B185,'公司'!$A$8:$A$207,0))))</f>
        <v/>
      </c>
      <c r="D185" s="32" t="n"/>
      <c r="E185" s="32" t="n"/>
      <c r="F185" s="32" t="n"/>
      <c r="G185" s="10" t="n"/>
      <c r="H185" s="10" t="n"/>
      <c r="I185" s="10" t="n"/>
      <c r="J185" s="33" t="n"/>
      <c r="K185" s="10" t="n"/>
      <c r="L185" s="10" t="n"/>
      <c r="M185" s="33" t="n"/>
      <c r="N185" s="10" t="n"/>
      <c r="O185" s="32" t="n"/>
      <c r="P185" s="16">
        <f>IF(A185="","",IF(L185="已取消","已取消",IF(L185="已完成",IF(OR(M185="",N185=""),"补完成证据","已完成"),IF(J185="","待定日期",IF(NOT(ISNUMBER(J185)),"检查日期",IF(J185&lt;'使用说明'!$B$5,"已逾期",IF(J185='使用说明'!$B$5,"今日跟进","待跟进")))))))</f>
        <v/>
      </c>
      <c r="Q185" s="16">
        <f>IF(A185="","",IF(OR(COUNTIF($A$8:$A$207,A185)&lt;&gt;1,COUNTIF('公司'!$A$8:$A$207,B185)&lt;&gt;1,AND(D185&lt;&gt;"",COUNTIF('联系人'!$A$8:$A$207,D185)&lt;&gt;1),AND(E185&lt;&gt;"",COUNTIF('用胶项目'!$A$8:$A$207,E185)&lt;&gt;1),AND(F185&lt;&gt;"",COUNTIF('样品测试'!$A$8:$A$207,F185)&lt;&gt;1),AND(O185&lt;&gt;"",COUNTIF('沟通记录'!$A$8:$A$207,O185)&lt;&gt;1)),"检查编号或关联","正常"))</f>
        <v/>
      </c>
    </row>
    <row r="186" ht="34" customHeight="1">
      <c r="A186" s="32" t="n"/>
      <c r="B186" s="32" t="n"/>
      <c r="C186" s="16">
        <f>IF(B186="","",IF(COUNTIF('公司'!$A$8:$A$207,B186)&lt;&gt;1,"编号缺失或重复",INDEX('公司'!$B$8:$B$207,MATCH(B186,'公司'!$A$8:$A$207,0))))</f>
        <v/>
      </c>
      <c r="D186" s="32" t="n"/>
      <c r="E186" s="32" t="n"/>
      <c r="F186" s="32" t="n"/>
      <c r="G186" s="10" t="n"/>
      <c r="H186" s="10" t="n"/>
      <c r="I186" s="10" t="n"/>
      <c r="J186" s="33" t="n"/>
      <c r="K186" s="10" t="n"/>
      <c r="L186" s="10" t="n"/>
      <c r="M186" s="33" t="n"/>
      <c r="N186" s="10" t="n"/>
      <c r="O186" s="32" t="n"/>
      <c r="P186" s="16">
        <f>IF(A186="","",IF(L186="已取消","已取消",IF(L186="已完成",IF(OR(M186="",N186=""),"补完成证据","已完成"),IF(J186="","待定日期",IF(NOT(ISNUMBER(J186)),"检查日期",IF(J186&lt;'使用说明'!$B$5,"已逾期",IF(J186='使用说明'!$B$5,"今日跟进","待跟进")))))))</f>
        <v/>
      </c>
      <c r="Q186" s="16">
        <f>IF(A186="","",IF(OR(COUNTIF($A$8:$A$207,A186)&lt;&gt;1,COUNTIF('公司'!$A$8:$A$207,B186)&lt;&gt;1,AND(D186&lt;&gt;"",COUNTIF('联系人'!$A$8:$A$207,D186)&lt;&gt;1),AND(E186&lt;&gt;"",COUNTIF('用胶项目'!$A$8:$A$207,E186)&lt;&gt;1),AND(F186&lt;&gt;"",COUNTIF('样品测试'!$A$8:$A$207,F186)&lt;&gt;1),AND(O186&lt;&gt;"",COUNTIF('沟通记录'!$A$8:$A$207,O186)&lt;&gt;1)),"检查编号或关联","正常"))</f>
        <v/>
      </c>
    </row>
    <row r="187" ht="34" customHeight="1">
      <c r="A187" s="32" t="n"/>
      <c r="B187" s="32" t="n"/>
      <c r="C187" s="16">
        <f>IF(B187="","",IF(COUNTIF('公司'!$A$8:$A$207,B187)&lt;&gt;1,"编号缺失或重复",INDEX('公司'!$B$8:$B$207,MATCH(B187,'公司'!$A$8:$A$207,0))))</f>
        <v/>
      </c>
      <c r="D187" s="32" t="n"/>
      <c r="E187" s="32" t="n"/>
      <c r="F187" s="32" t="n"/>
      <c r="G187" s="10" t="n"/>
      <c r="H187" s="10" t="n"/>
      <c r="I187" s="10" t="n"/>
      <c r="J187" s="33" t="n"/>
      <c r="K187" s="10" t="n"/>
      <c r="L187" s="10" t="n"/>
      <c r="M187" s="33" t="n"/>
      <c r="N187" s="10" t="n"/>
      <c r="O187" s="32" t="n"/>
      <c r="P187" s="16">
        <f>IF(A187="","",IF(L187="已取消","已取消",IF(L187="已完成",IF(OR(M187="",N187=""),"补完成证据","已完成"),IF(J187="","待定日期",IF(NOT(ISNUMBER(J187)),"检查日期",IF(J187&lt;'使用说明'!$B$5,"已逾期",IF(J187='使用说明'!$B$5,"今日跟进","待跟进")))))))</f>
        <v/>
      </c>
      <c r="Q187" s="16">
        <f>IF(A187="","",IF(OR(COUNTIF($A$8:$A$207,A187)&lt;&gt;1,COUNTIF('公司'!$A$8:$A$207,B187)&lt;&gt;1,AND(D187&lt;&gt;"",COUNTIF('联系人'!$A$8:$A$207,D187)&lt;&gt;1),AND(E187&lt;&gt;"",COUNTIF('用胶项目'!$A$8:$A$207,E187)&lt;&gt;1),AND(F187&lt;&gt;"",COUNTIF('样品测试'!$A$8:$A$207,F187)&lt;&gt;1),AND(O187&lt;&gt;"",COUNTIF('沟通记录'!$A$8:$A$207,O187)&lt;&gt;1)),"检查编号或关联","正常"))</f>
        <v/>
      </c>
    </row>
    <row r="188" ht="34" customHeight="1">
      <c r="A188" s="32" t="n"/>
      <c r="B188" s="32" t="n"/>
      <c r="C188" s="16">
        <f>IF(B188="","",IF(COUNTIF('公司'!$A$8:$A$207,B188)&lt;&gt;1,"编号缺失或重复",INDEX('公司'!$B$8:$B$207,MATCH(B188,'公司'!$A$8:$A$207,0))))</f>
        <v/>
      </c>
      <c r="D188" s="32" t="n"/>
      <c r="E188" s="32" t="n"/>
      <c r="F188" s="32" t="n"/>
      <c r="G188" s="10" t="n"/>
      <c r="H188" s="10" t="n"/>
      <c r="I188" s="10" t="n"/>
      <c r="J188" s="33" t="n"/>
      <c r="K188" s="10" t="n"/>
      <c r="L188" s="10" t="n"/>
      <c r="M188" s="33" t="n"/>
      <c r="N188" s="10" t="n"/>
      <c r="O188" s="32" t="n"/>
      <c r="P188" s="16">
        <f>IF(A188="","",IF(L188="已取消","已取消",IF(L188="已完成",IF(OR(M188="",N188=""),"补完成证据","已完成"),IF(J188="","待定日期",IF(NOT(ISNUMBER(J188)),"检查日期",IF(J188&lt;'使用说明'!$B$5,"已逾期",IF(J188='使用说明'!$B$5,"今日跟进","待跟进")))))))</f>
        <v/>
      </c>
      <c r="Q188" s="16">
        <f>IF(A188="","",IF(OR(COUNTIF($A$8:$A$207,A188)&lt;&gt;1,COUNTIF('公司'!$A$8:$A$207,B188)&lt;&gt;1,AND(D188&lt;&gt;"",COUNTIF('联系人'!$A$8:$A$207,D188)&lt;&gt;1),AND(E188&lt;&gt;"",COUNTIF('用胶项目'!$A$8:$A$207,E188)&lt;&gt;1),AND(F188&lt;&gt;"",COUNTIF('样品测试'!$A$8:$A$207,F188)&lt;&gt;1),AND(O188&lt;&gt;"",COUNTIF('沟通记录'!$A$8:$A$207,O188)&lt;&gt;1)),"检查编号或关联","正常"))</f>
        <v/>
      </c>
    </row>
    <row r="189" ht="34" customHeight="1">
      <c r="A189" s="32" t="n"/>
      <c r="B189" s="32" t="n"/>
      <c r="C189" s="16">
        <f>IF(B189="","",IF(COUNTIF('公司'!$A$8:$A$207,B189)&lt;&gt;1,"编号缺失或重复",INDEX('公司'!$B$8:$B$207,MATCH(B189,'公司'!$A$8:$A$207,0))))</f>
        <v/>
      </c>
      <c r="D189" s="32" t="n"/>
      <c r="E189" s="32" t="n"/>
      <c r="F189" s="32" t="n"/>
      <c r="G189" s="10" t="n"/>
      <c r="H189" s="10" t="n"/>
      <c r="I189" s="10" t="n"/>
      <c r="J189" s="33" t="n"/>
      <c r="K189" s="10" t="n"/>
      <c r="L189" s="10" t="n"/>
      <c r="M189" s="33" t="n"/>
      <c r="N189" s="10" t="n"/>
      <c r="O189" s="32" t="n"/>
      <c r="P189" s="16">
        <f>IF(A189="","",IF(L189="已取消","已取消",IF(L189="已完成",IF(OR(M189="",N189=""),"补完成证据","已完成"),IF(J189="","待定日期",IF(NOT(ISNUMBER(J189)),"检查日期",IF(J189&lt;'使用说明'!$B$5,"已逾期",IF(J189='使用说明'!$B$5,"今日跟进","待跟进")))))))</f>
        <v/>
      </c>
      <c r="Q189" s="16">
        <f>IF(A189="","",IF(OR(COUNTIF($A$8:$A$207,A189)&lt;&gt;1,COUNTIF('公司'!$A$8:$A$207,B189)&lt;&gt;1,AND(D189&lt;&gt;"",COUNTIF('联系人'!$A$8:$A$207,D189)&lt;&gt;1),AND(E189&lt;&gt;"",COUNTIF('用胶项目'!$A$8:$A$207,E189)&lt;&gt;1),AND(F189&lt;&gt;"",COUNTIF('样品测试'!$A$8:$A$207,F189)&lt;&gt;1),AND(O189&lt;&gt;"",COUNTIF('沟通记录'!$A$8:$A$207,O189)&lt;&gt;1)),"检查编号或关联","正常"))</f>
        <v/>
      </c>
    </row>
    <row r="190" ht="34" customHeight="1">
      <c r="A190" s="32" t="n"/>
      <c r="B190" s="32" t="n"/>
      <c r="C190" s="16">
        <f>IF(B190="","",IF(COUNTIF('公司'!$A$8:$A$207,B190)&lt;&gt;1,"编号缺失或重复",INDEX('公司'!$B$8:$B$207,MATCH(B190,'公司'!$A$8:$A$207,0))))</f>
        <v/>
      </c>
      <c r="D190" s="32" t="n"/>
      <c r="E190" s="32" t="n"/>
      <c r="F190" s="32" t="n"/>
      <c r="G190" s="10" t="n"/>
      <c r="H190" s="10" t="n"/>
      <c r="I190" s="10" t="n"/>
      <c r="J190" s="33" t="n"/>
      <c r="K190" s="10" t="n"/>
      <c r="L190" s="10" t="n"/>
      <c r="M190" s="33" t="n"/>
      <c r="N190" s="10" t="n"/>
      <c r="O190" s="32" t="n"/>
      <c r="P190" s="16">
        <f>IF(A190="","",IF(L190="已取消","已取消",IF(L190="已完成",IF(OR(M190="",N190=""),"补完成证据","已完成"),IF(J190="","待定日期",IF(NOT(ISNUMBER(J190)),"检查日期",IF(J190&lt;'使用说明'!$B$5,"已逾期",IF(J190='使用说明'!$B$5,"今日跟进","待跟进")))))))</f>
        <v/>
      </c>
      <c r="Q190" s="16">
        <f>IF(A190="","",IF(OR(COUNTIF($A$8:$A$207,A190)&lt;&gt;1,COUNTIF('公司'!$A$8:$A$207,B190)&lt;&gt;1,AND(D190&lt;&gt;"",COUNTIF('联系人'!$A$8:$A$207,D190)&lt;&gt;1),AND(E190&lt;&gt;"",COUNTIF('用胶项目'!$A$8:$A$207,E190)&lt;&gt;1),AND(F190&lt;&gt;"",COUNTIF('样品测试'!$A$8:$A$207,F190)&lt;&gt;1),AND(O190&lt;&gt;"",COUNTIF('沟通记录'!$A$8:$A$207,O190)&lt;&gt;1)),"检查编号或关联","正常"))</f>
        <v/>
      </c>
    </row>
    <row r="191" ht="34" customHeight="1">
      <c r="A191" s="32" t="n"/>
      <c r="B191" s="32" t="n"/>
      <c r="C191" s="16">
        <f>IF(B191="","",IF(COUNTIF('公司'!$A$8:$A$207,B191)&lt;&gt;1,"编号缺失或重复",INDEX('公司'!$B$8:$B$207,MATCH(B191,'公司'!$A$8:$A$207,0))))</f>
        <v/>
      </c>
      <c r="D191" s="32" t="n"/>
      <c r="E191" s="32" t="n"/>
      <c r="F191" s="32" t="n"/>
      <c r="G191" s="10" t="n"/>
      <c r="H191" s="10" t="n"/>
      <c r="I191" s="10" t="n"/>
      <c r="J191" s="33" t="n"/>
      <c r="K191" s="10" t="n"/>
      <c r="L191" s="10" t="n"/>
      <c r="M191" s="33" t="n"/>
      <c r="N191" s="10" t="n"/>
      <c r="O191" s="32" t="n"/>
      <c r="P191" s="16">
        <f>IF(A191="","",IF(L191="已取消","已取消",IF(L191="已完成",IF(OR(M191="",N191=""),"补完成证据","已完成"),IF(J191="","待定日期",IF(NOT(ISNUMBER(J191)),"检查日期",IF(J191&lt;'使用说明'!$B$5,"已逾期",IF(J191='使用说明'!$B$5,"今日跟进","待跟进")))))))</f>
        <v/>
      </c>
      <c r="Q191" s="16">
        <f>IF(A191="","",IF(OR(COUNTIF($A$8:$A$207,A191)&lt;&gt;1,COUNTIF('公司'!$A$8:$A$207,B191)&lt;&gt;1,AND(D191&lt;&gt;"",COUNTIF('联系人'!$A$8:$A$207,D191)&lt;&gt;1),AND(E191&lt;&gt;"",COUNTIF('用胶项目'!$A$8:$A$207,E191)&lt;&gt;1),AND(F191&lt;&gt;"",COUNTIF('样品测试'!$A$8:$A$207,F191)&lt;&gt;1),AND(O191&lt;&gt;"",COUNTIF('沟通记录'!$A$8:$A$207,O191)&lt;&gt;1)),"检查编号或关联","正常"))</f>
        <v/>
      </c>
    </row>
    <row r="192" ht="34" customHeight="1">
      <c r="A192" s="32" t="n"/>
      <c r="B192" s="32" t="n"/>
      <c r="C192" s="16">
        <f>IF(B192="","",IF(COUNTIF('公司'!$A$8:$A$207,B192)&lt;&gt;1,"编号缺失或重复",INDEX('公司'!$B$8:$B$207,MATCH(B192,'公司'!$A$8:$A$207,0))))</f>
        <v/>
      </c>
      <c r="D192" s="32" t="n"/>
      <c r="E192" s="32" t="n"/>
      <c r="F192" s="32" t="n"/>
      <c r="G192" s="10" t="n"/>
      <c r="H192" s="10" t="n"/>
      <c r="I192" s="10" t="n"/>
      <c r="J192" s="33" t="n"/>
      <c r="K192" s="10" t="n"/>
      <c r="L192" s="10" t="n"/>
      <c r="M192" s="33" t="n"/>
      <c r="N192" s="10" t="n"/>
      <c r="O192" s="32" t="n"/>
      <c r="P192" s="16">
        <f>IF(A192="","",IF(L192="已取消","已取消",IF(L192="已完成",IF(OR(M192="",N192=""),"补完成证据","已完成"),IF(J192="","待定日期",IF(NOT(ISNUMBER(J192)),"检查日期",IF(J192&lt;'使用说明'!$B$5,"已逾期",IF(J192='使用说明'!$B$5,"今日跟进","待跟进")))))))</f>
        <v/>
      </c>
      <c r="Q192" s="16">
        <f>IF(A192="","",IF(OR(COUNTIF($A$8:$A$207,A192)&lt;&gt;1,COUNTIF('公司'!$A$8:$A$207,B192)&lt;&gt;1,AND(D192&lt;&gt;"",COUNTIF('联系人'!$A$8:$A$207,D192)&lt;&gt;1),AND(E192&lt;&gt;"",COUNTIF('用胶项目'!$A$8:$A$207,E192)&lt;&gt;1),AND(F192&lt;&gt;"",COUNTIF('样品测试'!$A$8:$A$207,F192)&lt;&gt;1),AND(O192&lt;&gt;"",COUNTIF('沟通记录'!$A$8:$A$207,O192)&lt;&gt;1)),"检查编号或关联","正常"))</f>
        <v/>
      </c>
    </row>
    <row r="193" ht="34" customHeight="1">
      <c r="A193" s="32" t="n"/>
      <c r="B193" s="32" t="n"/>
      <c r="C193" s="16">
        <f>IF(B193="","",IF(COUNTIF('公司'!$A$8:$A$207,B193)&lt;&gt;1,"编号缺失或重复",INDEX('公司'!$B$8:$B$207,MATCH(B193,'公司'!$A$8:$A$207,0))))</f>
        <v/>
      </c>
      <c r="D193" s="32" t="n"/>
      <c r="E193" s="32" t="n"/>
      <c r="F193" s="32" t="n"/>
      <c r="G193" s="10" t="n"/>
      <c r="H193" s="10" t="n"/>
      <c r="I193" s="10" t="n"/>
      <c r="J193" s="33" t="n"/>
      <c r="K193" s="10" t="n"/>
      <c r="L193" s="10" t="n"/>
      <c r="M193" s="33" t="n"/>
      <c r="N193" s="10" t="n"/>
      <c r="O193" s="32" t="n"/>
      <c r="P193" s="16">
        <f>IF(A193="","",IF(L193="已取消","已取消",IF(L193="已完成",IF(OR(M193="",N193=""),"补完成证据","已完成"),IF(J193="","待定日期",IF(NOT(ISNUMBER(J193)),"检查日期",IF(J193&lt;'使用说明'!$B$5,"已逾期",IF(J193='使用说明'!$B$5,"今日跟进","待跟进")))))))</f>
        <v/>
      </c>
      <c r="Q193" s="16">
        <f>IF(A193="","",IF(OR(COUNTIF($A$8:$A$207,A193)&lt;&gt;1,COUNTIF('公司'!$A$8:$A$207,B193)&lt;&gt;1,AND(D193&lt;&gt;"",COUNTIF('联系人'!$A$8:$A$207,D193)&lt;&gt;1),AND(E193&lt;&gt;"",COUNTIF('用胶项目'!$A$8:$A$207,E193)&lt;&gt;1),AND(F193&lt;&gt;"",COUNTIF('样品测试'!$A$8:$A$207,F193)&lt;&gt;1),AND(O193&lt;&gt;"",COUNTIF('沟通记录'!$A$8:$A$207,O193)&lt;&gt;1)),"检查编号或关联","正常"))</f>
        <v/>
      </c>
    </row>
    <row r="194" ht="34" customHeight="1">
      <c r="A194" s="32" t="n"/>
      <c r="B194" s="32" t="n"/>
      <c r="C194" s="16">
        <f>IF(B194="","",IF(COUNTIF('公司'!$A$8:$A$207,B194)&lt;&gt;1,"编号缺失或重复",INDEX('公司'!$B$8:$B$207,MATCH(B194,'公司'!$A$8:$A$207,0))))</f>
        <v/>
      </c>
      <c r="D194" s="32" t="n"/>
      <c r="E194" s="32" t="n"/>
      <c r="F194" s="32" t="n"/>
      <c r="G194" s="10" t="n"/>
      <c r="H194" s="10" t="n"/>
      <c r="I194" s="10" t="n"/>
      <c r="J194" s="33" t="n"/>
      <c r="K194" s="10" t="n"/>
      <c r="L194" s="10" t="n"/>
      <c r="M194" s="33" t="n"/>
      <c r="N194" s="10" t="n"/>
      <c r="O194" s="32" t="n"/>
      <c r="P194" s="16">
        <f>IF(A194="","",IF(L194="已取消","已取消",IF(L194="已完成",IF(OR(M194="",N194=""),"补完成证据","已完成"),IF(J194="","待定日期",IF(NOT(ISNUMBER(J194)),"检查日期",IF(J194&lt;'使用说明'!$B$5,"已逾期",IF(J194='使用说明'!$B$5,"今日跟进","待跟进")))))))</f>
        <v/>
      </c>
      <c r="Q194" s="16">
        <f>IF(A194="","",IF(OR(COUNTIF($A$8:$A$207,A194)&lt;&gt;1,COUNTIF('公司'!$A$8:$A$207,B194)&lt;&gt;1,AND(D194&lt;&gt;"",COUNTIF('联系人'!$A$8:$A$207,D194)&lt;&gt;1),AND(E194&lt;&gt;"",COUNTIF('用胶项目'!$A$8:$A$207,E194)&lt;&gt;1),AND(F194&lt;&gt;"",COUNTIF('样品测试'!$A$8:$A$207,F194)&lt;&gt;1),AND(O194&lt;&gt;"",COUNTIF('沟通记录'!$A$8:$A$207,O194)&lt;&gt;1)),"检查编号或关联","正常"))</f>
        <v/>
      </c>
    </row>
    <row r="195" ht="34" customHeight="1">
      <c r="A195" s="32" t="n"/>
      <c r="B195" s="32" t="n"/>
      <c r="C195" s="16">
        <f>IF(B195="","",IF(COUNTIF('公司'!$A$8:$A$207,B195)&lt;&gt;1,"编号缺失或重复",INDEX('公司'!$B$8:$B$207,MATCH(B195,'公司'!$A$8:$A$207,0))))</f>
        <v/>
      </c>
      <c r="D195" s="32" t="n"/>
      <c r="E195" s="32" t="n"/>
      <c r="F195" s="32" t="n"/>
      <c r="G195" s="10" t="n"/>
      <c r="H195" s="10" t="n"/>
      <c r="I195" s="10" t="n"/>
      <c r="J195" s="33" t="n"/>
      <c r="K195" s="10" t="n"/>
      <c r="L195" s="10" t="n"/>
      <c r="M195" s="33" t="n"/>
      <c r="N195" s="10" t="n"/>
      <c r="O195" s="32" t="n"/>
      <c r="P195" s="16">
        <f>IF(A195="","",IF(L195="已取消","已取消",IF(L195="已完成",IF(OR(M195="",N195=""),"补完成证据","已完成"),IF(J195="","待定日期",IF(NOT(ISNUMBER(J195)),"检查日期",IF(J195&lt;'使用说明'!$B$5,"已逾期",IF(J195='使用说明'!$B$5,"今日跟进","待跟进")))))))</f>
        <v/>
      </c>
      <c r="Q195" s="16">
        <f>IF(A195="","",IF(OR(COUNTIF($A$8:$A$207,A195)&lt;&gt;1,COUNTIF('公司'!$A$8:$A$207,B195)&lt;&gt;1,AND(D195&lt;&gt;"",COUNTIF('联系人'!$A$8:$A$207,D195)&lt;&gt;1),AND(E195&lt;&gt;"",COUNTIF('用胶项目'!$A$8:$A$207,E195)&lt;&gt;1),AND(F195&lt;&gt;"",COUNTIF('样品测试'!$A$8:$A$207,F195)&lt;&gt;1),AND(O195&lt;&gt;"",COUNTIF('沟通记录'!$A$8:$A$207,O195)&lt;&gt;1)),"检查编号或关联","正常"))</f>
        <v/>
      </c>
    </row>
    <row r="196" ht="34" customHeight="1">
      <c r="A196" s="32" t="n"/>
      <c r="B196" s="32" t="n"/>
      <c r="C196" s="16">
        <f>IF(B196="","",IF(COUNTIF('公司'!$A$8:$A$207,B196)&lt;&gt;1,"编号缺失或重复",INDEX('公司'!$B$8:$B$207,MATCH(B196,'公司'!$A$8:$A$207,0))))</f>
        <v/>
      </c>
      <c r="D196" s="32" t="n"/>
      <c r="E196" s="32" t="n"/>
      <c r="F196" s="32" t="n"/>
      <c r="G196" s="10" t="n"/>
      <c r="H196" s="10" t="n"/>
      <c r="I196" s="10" t="n"/>
      <c r="J196" s="33" t="n"/>
      <c r="K196" s="10" t="n"/>
      <c r="L196" s="10" t="n"/>
      <c r="M196" s="33" t="n"/>
      <c r="N196" s="10" t="n"/>
      <c r="O196" s="32" t="n"/>
      <c r="P196" s="16">
        <f>IF(A196="","",IF(L196="已取消","已取消",IF(L196="已完成",IF(OR(M196="",N196=""),"补完成证据","已完成"),IF(J196="","待定日期",IF(NOT(ISNUMBER(J196)),"检查日期",IF(J196&lt;'使用说明'!$B$5,"已逾期",IF(J196='使用说明'!$B$5,"今日跟进","待跟进")))))))</f>
        <v/>
      </c>
      <c r="Q196" s="16">
        <f>IF(A196="","",IF(OR(COUNTIF($A$8:$A$207,A196)&lt;&gt;1,COUNTIF('公司'!$A$8:$A$207,B196)&lt;&gt;1,AND(D196&lt;&gt;"",COUNTIF('联系人'!$A$8:$A$207,D196)&lt;&gt;1),AND(E196&lt;&gt;"",COUNTIF('用胶项目'!$A$8:$A$207,E196)&lt;&gt;1),AND(F196&lt;&gt;"",COUNTIF('样品测试'!$A$8:$A$207,F196)&lt;&gt;1),AND(O196&lt;&gt;"",COUNTIF('沟通记录'!$A$8:$A$207,O196)&lt;&gt;1)),"检查编号或关联","正常"))</f>
        <v/>
      </c>
    </row>
    <row r="197" ht="34" customHeight="1">
      <c r="A197" s="32" t="n"/>
      <c r="B197" s="32" t="n"/>
      <c r="C197" s="16">
        <f>IF(B197="","",IF(COUNTIF('公司'!$A$8:$A$207,B197)&lt;&gt;1,"编号缺失或重复",INDEX('公司'!$B$8:$B$207,MATCH(B197,'公司'!$A$8:$A$207,0))))</f>
        <v/>
      </c>
      <c r="D197" s="32" t="n"/>
      <c r="E197" s="32" t="n"/>
      <c r="F197" s="32" t="n"/>
      <c r="G197" s="10" t="n"/>
      <c r="H197" s="10" t="n"/>
      <c r="I197" s="10" t="n"/>
      <c r="J197" s="33" t="n"/>
      <c r="K197" s="10" t="n"/>
      <c r="L197" s="10" t="n"/>
      <c r="M197" s="33" t="n"/>
      <c r="N197" s="10" t="n"/>
      <c r="O197" s="32" t="n"/>
      <c r="P197" s="16">
        <f>IF(A197="","",IF(L197="已取消","已取消",IF(L197="已完成",IF(OR(M197="",N197=""),"补完成证据","已完成"),IF(J197="","待定日期",IF(NOT(ISNUMBER(J197)),"检查日期",IF(J197&lt;'使用说明'!$B$5,"已逾期",IF(J197='使用说明'!$B$5,"今日跟进","待跟进")))))))</f>
        <v/>
      </c>
      <c r="Q197" s="16">
        <f>IF(A197="","",IF(OR(COUNTIF($A$8:$A$207,A197)&lt;&gt;1,COUNTIF('公司'!$A$8:$A$207,B197)&lt;&gt;1,AND(D197&lt;&gt;"",COUNTIF('联系人'!$A$8:$A$207,D197)&lt;&gt;1),AND(E197&lt;&gt;"",COUNTIF('用胶项目'!$A$8:$A$207,E197)&lt;&gt;1),AND(F197&lt;&gt;"",COUNTIF('样品测试'!$A$8:$A$207,F197)&lt;&gt;1),AND(O197&lt;&gt;"",COUNTIF('沟通记录'!$A$8:$A$207,O197)&lt;&gt;1)),"检查编号或关联","正常"))</f>
        <v/>
      </c>
    </row>
    <row r="198" ht="34" customHeight="1">
      <c r="A198" s="32" t="n"/>
      <c r="B198" s="32" t="n"/>
      <c r="C198" s="16">
        <f>IF(B198="","",IF(COUNTIF('公司'!$A$8:$A$207,B198)&lt;&gt;1,"编号缺失或重复",INDEX('公司'!$B$8:$B$207,MATCH(B198,'公司'!$A$8:$A$207,0))))</f>
        <v/>
      </c>
      <c r="D198" s="32" t="n"/>
      <c r="E198" s="32" t="n"/>
      <c r="F198" s="32" t="n"/>
      <c r="G198" s="10" t="n"/>
      <c r="H198" s="10" t="n"/>
      <c r="I198" s="10" t="n"/>
      <c r="J198" s="33" t="n"/>
      <c r="K198" s="10" t="n"/>
      <c r="L198" s="10" t="n"/>
      <c r="M198" s="33" t="n"/>
      <c r="N198" s="10" t="n"/>
      <c r="O198" s="32" t="n"/>
      <c r="P198" s="16">
        <f>IF(A198="","",IF(L198="已取消","已取消",IF(L198="已完成",IF(OR(M198="",N198=""),"补完成证据","已完成"),IF(J198="","待定日期",IF(NOT(ISNUMBER(J198)),"检查日期",IF(J198&lt;'使用说明'!$B$5,"已逾期",IF(J198='使用说明'!$B$5,"今日跟进","待跟进")))))))</f>
        <v/>
      </c>
      <c r="Q198" s="16">
        <f>IF(A198="","",IF(OR(COUNTIF($A$8:$A$207,A198)&lt;&gt;1,COUNTIF('公司'!$A$8:$A$207,B198)&lt;&gt;1,AND(D198&lt;&gt;"",COUNTIF('联系人'!$A$8:$A$207,D198)&lt;&gt;1),AND(E198&lt;&gt;"",COUNTIF('用胶项目'!$A$8:$A$207,E198)&lt;&gt;1),AND(F198&lt;&gt;"",COUNTIF('样品测试'!$A$8:$A$207,F198)&lt;&gt;1),AND(O198&lt;&gt;"",COUNTIF('沟通记录'!$A$8:$A$207,O198)&lt;&gt;1)),"检查编号或关联","正常"))</f>
        <v/>
      </c>
    </row>
    <row r="199" ht="34" customHeight="1">
      <c r="A199" s="32" t="n"/>
      <c r="B199" s="32" t="n"/>
      <c r="C199" s="16">
        <f>IF(B199="","",IF(COUNTIF('公司'!$A$8:$A$207,B199)&lt;&gt;1,"编号缺失或重复",INDEX('公司'!$B$8:$B$207,MATCH(B199,'公司'!$A$8:$A$207,0))))</f>
        <v/>
      </c>
      <c r="D199" s="32" t="n"/>
      <c r="E199" s="32" t="n"/>
      <c r="F199" s="32" t="n"/>
      <c r="G199" s="10" t="n"/>
      <c r="H199" s="10" t="n"/>
      <c r="I199" s="10" t="n"/>
      <c r="J199" s="33" t="n"/>
      <c r="K199" s="10" t="n"/>
      <c r="L199" s="10" t="n"/>
      <c r="M199" s="33" t="n"/>
      <c r="N199" s="10" t="n"/>
      <c r="O199" s="32" t="n"/>
      <c r="P199" s="16">
        <f>IF(A199="","",IF(L199="已取消","已取消",IF(L199="已完成",IF(OR(M199="",N199=""),"补完成证据","已完成"),IF(J199="","待定日期",IF(NOT(ISNUMBER(J199)),"检查日期",IF(J199&lt;'使用说明'!$B$5,"已逾期",IF(J199='使用说明'!$B$5,"今日跟进","待跟进")))))))</f>
        <v/>
      </c>
      <c r="Q199" s="16">
        <f>IF(A199="","",IF(OR(COUNTIF($A$8:$A$207,A199)&lt;&gt;1,COUNTIF('公司'!$A$8:$A$207,B199)&lt;&gt;1,AND(D199&lt;&gt;"",COUNTIF('联系人'!$A$8:$A$207,D199)&lt;&gt;1),AND(E199&lt;&gt;"",COUNTIF('用胶项目'!$A$8:$A$207,E199)&lt;&gt;1),AND(F199&lt;&gt;"",COUNTIF('样品测试'!$A$8:$A$207,F199)&lt;&gt;1),AND(O199&lt;&gt;"",COUNTIF('沟通记录'!$A$8:$A$207,O199)&lt;&gt;1)),"检查编号或关联","正常"))</f>
        <v/>
      </c>
    </row>
    <row r="200" ht="34" customHeight="1">
      <c r="A200" s="32" t="n"/>
      <c r="B200" s="32" t="n"/>
      <c r="C200" s="16">
        <f>IF(B200="","",IF(COUNTIF('公司'!$A$8:$A$207,B200)&lt;&gt;1,"编号缺失或重复",INDEX('公司'!$B$8:$B$207,MATCH(B200,'公司'!$A$8:$A$207,0))))</f>
        <v/>
      </c>
      <c r="D200" s="32" t="n"/>
      <c r="E200" s="32" t="n"/>
      <c r="F200" s="32" t="n"/>
      <c r="G200" s="10" t="n"/>
      <c r="H200" s="10" t="n"/>
      <c r="I200" s="10" t="n"/>
      <c r="J200" s="33" t="n"/>
      <c r="K200" s="10" t="n"/>
      <c r="L200" s="10" t="n"/>
      <c r="M200" s="33" t="n"/>
      <c r="N200" s="10" t="n"/>
      <c r="O200" s="32" t="n"/>
      <c r="P200" s="16">
        <f>IF(A200="","",IF(L200="已取消","已取消",IF(L200="已完成",IF(OR(M200="",N200=""),"补完成证据","已完成"),IF(J200="","待定日期",IF(NOT(ISNUMBER(J200)),"检查日期",IF(J200&lt;'使用说明'!$B$5,"已逾期",IF(J200='使用说明'!$B$5,"今日跟进","待跟进")))))))</f>
        <v/>
      </c>
      <c r="Q200" s="16">
        <f>IF(A200="","",IF(OR(COUNTIF($A$8:$A$207,A200)&lt;&gt;1,COUNTIF('公司'!$A$8:$A$207,B200)&lt;&gt;1,AND(D200&lt;&gt;"",COUNTIF('联系人'!$A$8:$A$207,D200)&lt;&gt;1),AND(E200&lt;&gt;"",COUNTIF('用胶项目'!$A$8:$A$207,E200)&lt;&gt;1),AND(F200&lt;&gt;"",COUNTIF('样品测试'!$A$8:$A$207,F200)&lt;&gt;1),AND(O200&lt;&gt;"",COUNTIF('沟通记录'!$A$8:$A$207,O200)&lt;&gt;1)),"检查编号或关联","正常"))</f>
        <v/>
      </c>
    </row>
    <row r="201" ht="34" customHeight="1">
      <c r="A201" s="32" t="n"/>
      <c r="B201" s="32" t="n"/>
      <c r="C201" s="16">
        <f>IF(B201="","",IF(COUNTIF('公司'!$A$8:$A$207,B201)&lt;&gt;1,"编号缺失或重复",INDEX('公司'!$B$8:$B$207,MATCH(B201,'公司'!$A$8:$A$207,0))))</f>
        <v/>
      </c>
      <c r="D201" s="32" t="n"/>
      <c r="E201" s="32" t="n"/>
      <c r="F201" s="32" t="n"/>
      <c r="G201" s="10" t="n"/>
      <c r="H201" s="10" t="n"/>
      <c r="I201" s="10" t="n"/>
      <c r="J201" s="33" t="n"/>
      <c r="K201" s="10" t="n"/>
      <c r="L201" s="10" t="n"/>
      <c r="M201" s="33" t="n"/>
      <c r="N201" s="10" t="n"/>
      <c r="O201" s="32" t="n"/>
      <c r="P201" s="16">
        <f>IF(A201="","",IF(L201="已取消","已取消",IF(L201="已完成",IF(OR(M201="",N201=""),"补完成证据","已完成"),IF(J201="","待定日期",IF(NOT(ISNUMBER(J201)),"检查日期",IF(J201&lt;'使用说明'!$B$5,"已逾期",IF(J201='使用说明'!$B$5,"今日跟进","待跟进")))))))</f>
        <v/>
      </c>
      <c r="Q201" s="16">
        <f>IF(A201="","",IF(OR(COUNTIF($A$8:$A$207,A201)&lt;&gt;1,COUNTIF('公司'!$A$8:$A$207,B201)&lt;&gt;1,AND(D201&lt;&gt;"",COUNTIF('联系人'!$A$8:$A$207,D201)&lt;&gt;1),AND(E201&lt;&gt;"",COUNTIF('用胶项目'!$A$8:$A$207,E201)&lt;&gt;1),AND(F201&lt;&gt;"",COUNTIF('样品测试'!$A$8:$A$207,F201)&lt;&gt;1),AND(O201&lt;&gt;"",COUNTIF('沟通记录'!$A$8:$A$207,O201)&lt;&gt;1)),"检查编号或关联","正常"))</f>
        <v/>
      </c>
    </row>
    <row r="202" ht="34" customHeight="1">
      <c r="A202" s="32" t="n"/>
      <c r="B202" s="32" t="n"/>
      <c r="C202" s="16">
        <f>IF(B202="","",IF(COUNTIF('公司'!$A$8:$A$207,B202)&lt;&gt;1,"编号缺失或重复",INDEX('公司'!$B$8:$B$207,MATCH(B202,'公司'!$A$8:$A$207,0))))</f>
        <v/>
      </c>
      <c r="D202" s="32" t="n"/>
      <c r="E202" s="32" t="n"/>
      <c r="F202" s="32" t="n"/>
      <c r="G202" s="10" t="n"/>
      <c r="H202" s="10" t="n"/>
      <c r="I202" s="10" t="n"/>
      <c r="J202" s="33" t="n"/>
      <c r="K202" s="10" t="n"/>
      <c r="L202" s="10" t="n"/>
      <c r="M202" s="33" t="n"/>
      <c r="N202" s="10" t="n"/>
      <c r="O202" s="32" t="n"/>
      <c r="P202" s="16">
        <f>IF(A202="","",IF(L202="已取消","已取消",IF(L202="已完成",IF(OR(M202="",N202=""),"补完成证据","已完成"),IF(J202="","待定日期",IF(NOT(ISNUMBER(J202)),"检查日期",IF(J202&lt;'使用说明'!$B$5,"已逾期",IF(J202='使用说明'!$B$5,"今日跟进","待跟进")))))))</f>
        <v/>
      </c>
      <c r="Q202" s="16">
        <f>IF(A202="","",IF(OR(COUNTIF($A$8:$A$207,A202)&lt;&gt;1,COUNTIF('公司'!$A$8:$A$207,B202)&lt;&gt;1,AND(D202&lt;&gt;"",COUNTIF('联系人'!$A$8:$A$207,D202)&lt;&gt;1),AND(E202&lt;&gt;"",COUNTIF('用胶项目'!$A$8:$A$207,E202)&lt;&gt;1),AND(F202&lt;&gt;"",COUNTIF('样品测试'!$A$8:$A$207,F202)&lt;&gt;1),AND(O202&lt;&gt;"",COUNTIF('沟通记录'!$A$8:$A$207,O202)&lt;&gt;1)),"检查编号或关联","正常"))</f>
        <v/>
      </c>
    </row>
    <row r="203" ht="34" customHeight="1">
      <c r="A203" s="32" t="n"/>
      <c r="B203" s="32" t="n"/>
      <c r="C203" s="16">
        <f>IF(B203="","",IF(COUNTIF('公司'!$A$8:$A$207,B203)&lt;&gt;1,"编号缺失或重复",INDEX('公司'!$B$8:$B$207,MATCH(B203,'公司'!$A$8:$A$207,0))))</f>
        <v/>
      </c>
      <c r="D203" s="32" t="n"/>
      <c r="E203" s="32" t="n"/>
      <c r="F203" s="32" t="n"/>
      <c r="G203" s="10" t="n"/>
      <c r="H203" s="10" t="n"/>
      <c r="I203" s="10" t="n"/>
      <c r="J203" s="33" t="n"/>
      <c r="K203" s="10" t="n"/>
      <c r="L203" s="10" t="n"/>
      <c r="M203" s="33" t="n"/>
      <c r="N203" s="10" t="n"/>
      <c r="O203" s="32" t="n"/>
      <c r="P203" s="16">
        <f>IF(A203="","",IF(L203="已取消","已取消",IF(L203="已完成",IF(OR(M203="",N203=""),"补完成证据","已完成"),IF(J203="","待定日期",IF(NOT(ISNUMBER(J203)),"检查日期",IF(J203&lt;'使用说明'!$B$5,"已逾期",IF(J203='使用说明'!$B$5,"今日跟进","待跟进")))))))</f>
        <v/>
      </c>
      <c r="Q203" s="16">
        <f>IF(A203="","",IF(OR(COUNTIF($A$8:$A$207,A203)&lt;&gt;1,COUNTIF('公司'!$A$8:$A$207,B203)&lt;&gt;1,AND(D203&lt;&gt;"",COUNTIF('联系人'!$A$8:$A$207,D203)&lt;&gt;1),AND(E203&lt;&gt;"",COUNTIF('用胶项目'!$A$8:$A$207,E203)&lt;&gt;1),AND(F203&lt;&gt;"",COUNTIF('样品测试'!$A$8:$A$207,F203)&lt;&gt;1),AND(O203&lt;&gt;"",COUNTIF('沟通记录'!$A$8:$A$207,O203)&lt;&gt;1)),"检查编号或关联","正常"))</f>
        <v/>
      </c>
    </row>
    <row r="204" ht="34" customHeight="1">
      <c r="A204" s="32" t="n"/>
      <c r="B204" s="32" t="n"/>
      <c r="C204" s="16">
        <f>IF(B204="","",IF(COUNTIF('公司'!$A$8:$A$207,B204)&lt;&gt;1,"编号缺失或重复",INDEX('公司'!$B$8:$B$207,MATCH(B204,'公司'!$A$8:$A$207,0))))</f>
        <v/>
      </c>
      <c r="D204" s="32" t="n"/>
      <c r="E204" s="32" t="n"/>
      <c r="F204" s="32" t="n"/>
      <c r="G204" s="10" t="n"/>
      <c r="H204" s="10" t="n"/>
      <c r="I204" s="10" t="n"/>
      <c r="J204" s="33" t="n"/>
      <c r="K204" s="10" t="n"/>
      <c r="L204" s="10" t="n"/>
      <c r="M204" s="33" t="n"/>
      <c r="N204" s="10" t="n"/>
      <c r="O204" s="32" t="n"/>
      <c r="P204" s="16">
        <f>IF(A204="","",IF(L204="已取消","已取消",IF(L204="已完成",IF(OR(M204="",N204=""),"补完成证据","已完成"),IF(J204="","待定日期",IF(NOT(ISNUMBER(J204)),"检查日期",IF(J204&lt;'使用说明'!$B$5,"已逾期",IF(J204='使用说明'!$B$5,"今日跟进","待跟进")))))))</f>
        <v/>
      </c>
      <c r="Q204" s="16">
        <f>IF(A204="","",IF(OR(COUNTIF($A$8:$A$207,A204)&lt;&gt;1,COUNTIF('公司'!$A$8:$A$207,B204)&lt;&gt;1,AND(D204&lt;&gt;"",COUNTIF('联系人'!$A$8:$A$207,D204)&lt;&gt;1),AND(E204&lt;&gt;"",COUNTIF('用胶项目'!$A$8:$A$207,E204)&lt;&gt;1),AND(F204&lt;&gt;"",COUNTIF('样品测试'!$A$8:$A$207,F204)&lt;&gt;1),AND(O204&lt;&gt;"",COUNTIF('沟通记录'!$A$8:$A$207,O204)&lt;&gt;1)),"检查编号或关联","正常"))</f>
        <v/>
      </c>
    </row>
    <row r="205" ht="34" customHeight="1">
      <c r="A205" s="32" t="n"/>
      <c r="B205" s="32" t="n"/>
      <c r="C205" s="16">
        <f>IF(B205="","",IF(COUNTIF('公司'!$A$8:$A$207,B205)&lt;&gt;1,"编号缺失或重复",INDEX('公司'!$B$8:$B$207,MATCH(B205,'公司'!$A$8:$A$207,0))))</f>
        <v/>
      </c>
      <c r="D205" s="32" t="n"/>
      <c r="E205" s="32" t="n"/>
      <c r="F205" s="32" t="n"/>
      <c r="G205" s="10" t="n"/>
      <c r="H205" s="10" t="n"/>
      <c r="I205" s="10" t="n"/>
      <c r="J205" s="33" t="n"/>
      <c r="K205" s="10" t="n"/>
      <c r="L205" s="10" t="n"/>
      <c r="M205" s="33" t="n"/>
      <c r="N205" s="10" t="n"/>
      <c r="O205" s="32" t="n"/>
      <c r="P205" s="16">
        <f>IF(A205="","",IF(L205="已取消","已取消",IF(L205="已完成",IF(OR(M205="",N205=""),"补完成证据","已完成"),IF(J205="","待定日期",IF(NOT(ISNUMBER(J205)),"检查日期",IF(J205&lt;'使用说明'!$B$5,"已逾期",IF(J205='使用说明'!$B$5,"今日跟进","待跟进")))))))</f>
        <v/>
      </c>
      <c r="Q205" s="16">
        <f>IF(A205="","",IF(OR(COUNTIF($A$8:$A$207,A205)&lt;&gt;1,COUNTIF('公司'!$A$8:$A$207,B205)&lt;&gt;1,AND(D205&lt;&gt;"",COUNTIF('联系人'!$A$8:$A$207,D205)&lt;&gt;1),AND(E205&lt;&gt;"",COUNTIF('用胶项目'!$A$8:$A$207,E205)&lt;&gt;1),AND(F205&lt;&gt;"",COUNTIF('样品测试'!$A$8:$A$207,F205)&lt;&gt;1),AND(O205&lt;&gt;"",COUNTIF('沟通记录'!$A$8:$A$207,O205)&lt;&gt;1)),"检查编号或关联","正常"))</f>
        <v/>
      </c>
    </row>
    <row r="206" ht="34" customHeight="1">
      <c r="A206" s="32" t="n"/>
      <c r="B206" s="32" t="n"/>
      <c r="C206" s="16">
        <f>IF(B206="","",IF(COUNTIF('公司'!$A$8:$A$207,B206)&lt;&gt;1,"编号缺失或重复",INDEX('公司'!$B$8:$B$207,MATCH(B206,'公司'!$A$8:$A$207,0))))</f>
        <v/>
      </c>
      <c r="D206" s="32" t="n"/>
      <c r="E206" s="32" t="n"/>
      <c r="F206" s="32" t="n"/>
      <c r="G206" s="10" t="n"/>
      <c r="H206" s="10" t="n"/>
      <c r="I206" s="10" t="n"/>
      <c r="J206" s="33" t="n"/>
      <c r="K206" s="10" t="n"/>
      <c r="L206" s="10" t="n"/>
      <c r="M206" s="33" t="n"/>
      <c r="N206" s="10" t="n"/>
      <c r="O206" s="32" t="n"/>
      <c r="P206" s="16">
        <f>IF(A206="","",IF(L206="已取消","已取消",IF(L206="已完成",IF(OR(M206="",N206=""),"补完成证据","已完成"),IF(J206="","待定日期",IF(NOT(ISNUMBER(J206)),"检查日期",IF(J206&lt;'使用说明'!$B$5,"已逾期",IF(J206='使用说明'!$B$5,"今日跟进","待跟进")))))))</f>
        <v/>
      </c>
      <c r="Q206" s="16">
        <f>IF(A206="","",IF(OR(COUNTIF($A$8:$A$207,A206)&lt;&gt;1,COUNTIF('公司'!$A$8:$A$207,B206)&lt;&gt;1,AND(D206&lt;&gt;"",COUNTIF('联系人'!$A$8:$A$207,D206)&lt;&gt;1),AND(E206&lt;&gt;"",COUNTIF('用胶项目'!$A$8:$A$207,E206)&lt;&gt;1),AND(F206&lt;&gt;"",COUNTIF('样品测试'!$A$8:$A$207,F206)&lt;&gt;1),AND(O206&lt;&gt;"",COUNTIF('沟通记录'!$A$8:$A$207,O206)&lt;&gt;1)),"检查编号或关联","正常"))</f>
        <v/>
      </c>
    </row>
    <row r="207" ht="34" customHeight="1">
      <c r="A207" s="32" t="n"/>
      <c r="B207" s="32" t="n"/>
      <c r="C207" s="16">
        <f>IF(B207="","",IF(COUNTIF('公司'!$A$8:$A$207,B207)&lt;&gt;1,"编号缺失或重复",INDEX('公司'!$B$8:$B$207,MATCH(B207,'公司'!$A$8:$A$207,0))))</f>
        <v/>
      </c>
      <c r="D207" s="32" t="n"/>
      <c r="E207" s="32" t="n"/>
      <c r="F207" s="32" t="n"/>
      <c r="G207" s="10" t="n"/>
      <c r="H207" s="10" t="n"/>
      <c r="I207" s="10" t="n"/>
      <c r="J207" s="33" t="n"/>
      <c r="K207" s="10" t="n"/>
      <c r="L207" s="10" t="n"/>
      <c r="M207" s="33" t="n"/>
      <c r="N207" s="10" t="n"/>
      <c r="O207" s="32" t="n"/>
      <c r="P207" s="16">
        <f>IF(A207="","",IF(L207="已取消","已取消",IF(L207="已完成",IF(OR(M207="",N207=""),"补完成证据","已完成"),IF(J207="","待定日期",IF(NOT(ISNUMBER(J207)),"检查日期",IF(J207&lt;'使用说明'!$B$5,"已逾期",IF(J207='使用说明'!$B$5,"今日跟进","待跟进")))))))</f>
        <v/>
      </c>
      <c r="Q207" s="16">
        <f>IF(A207="","",IF(OR(COUNTIF($A$8:$A$207,A207)&lt;&gt;1,COUNTIF('公司'!$A$8:$A$207,B207)&lt;&gt;1,AND(D207&lt;&gt;"",COUNTIF('联系人'!$A$8:$A$207,D207)&lt;&gt;1),AND(E207&lt;&gt;"",COUNTIF('用胶项目'!$A$8:$A$207,E207)&lt;&gt;1),AND(F207&lt;&gt;"",COUNTIF('样品测试'!$A$8:$A$207,F207)&lt;&gt;1),AND(O207&lt;&gt;"",COUNTIF('沟通记录'!$A$8:$A$207,O207)&lt;&gt;1)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Q8:Q207">
    <cfRule type="containsText" priority="2" operator="containsText" dxfId="0" text="检查"/>
  </conditionalFormatting>
  <conditionalFormatting sqref="P8:P207">
    <cfRule type="containsText" priority="3" operator="containsText" dxfId="0" text="逾期"/>
    <cfRule type="containsText" priority="4" operator="containsText" dxfId="17" text="今日"/>
  </conditionalFormatting>
  <dataValidations count="3">
    <dataValidation sqref="G8:G207" showDropDown="0" showInputMessage="0" showErrorMessage="0" allowBlank="0" type="list">
      <formula1>"送样,确认签收,测试反馈,技术答疑,补资料,拜访,定期回访,邮件跟进,社媒跟进,其他"</formula1>
    </dataValidation>
    <dataValidation sqref="K8:K207" showDropDown="0" showInputMessage="0" showErrorMessage="0" allowBlank="0" type="list">
      <formula1>"客户约定,本人计划,AI建议待确认"</formula1>
    </dataValidation>
    <dataValidation sqref="L8:L207" showDropDown="0" showInputMessage="0" showErrorMessage="0" allowBlank="0" type="list">
      <formula1>"待办,进行中,等待客户,等待内部,已完成,已取消"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8297AA"/>
    <outlinePr summaryBelow="1" summaryRight="1"/>
    <pageSetUpPr/>
  </sheetPr>
  <dimension ref="A1:M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36" customWidth="1" min="6" max="6"/>
    <col width="19" customWidth="1" min="7" max="7"/>
    <col width="19" customWidth="1" min="8" max="8"/>
    <col width="19" customWidth="1" min="9" max="9"/>
    <col width="19" customWidth="1" min="10" max="10"/>
    <col width="36" customWidth="1" min="11" max="11"/>
    <col width="36" customWidth="1" min="12" max="12"/>
    <col width="19" customWidth="1" min="13" max="13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4" customHeight="1">
      <c r="A2" s="4" t="inlineStr">
        <is>
          <t>公司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5" t="inlineStr">
        <is>
          <t>先登记公司，再创建联系人和项目。编号固定，例如C0001；不要使用行号作为编号。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100" customHeight="1">
      <c r="A5" s="7" t="inlineStr">
        <is>
          <t>C示例001</t>
        </is>
      </c>
      <c r="B5" s="7" t="inlineStr">
        <is>
          <t>示例电源公司</t>
        </is>
      </c>
      <c r="C5" s="7" t="inlineStr">
        <is>
          <t>国内</t>
        </is>
      </c>
      <c r="D5" s="7" t="inlineStr">
        <is>
          <t>中国</t>
        </is>
      </c>
      <c r="E5" s="7" t="inlineStr">
        <is>
          <t>电源</t>
        </is>
      </c>
      <c r="F5" s="7" t="inlineStr">
        <is>
          <t>拜访</t>
        </is>
      </c>
      <c r="G5" s="7" t="str"/>
      <c r="H5" s="7" t="str"/>
      <c r="I5" s="7" t="str"/>
      <c r="J5" s="7" t="inlineStr">
        <is>
          <t>我</t>
        </is>
      </c>
      <c r="K5" s="7" t="inlineStr">
        <is>
          <t>虚构示例，不是实际客户</t>
        </is>
      </c>
      <c r="L5" s="7" t="inlineStr">
        <is>
          <t>填写格式示例</t>
        </is>
      </c>
      <c r="M5" s="7" t="inlineStr">
        <is>
          <t>示例</t>
        </is>
      </c>
    </row>
    <row r="6" ht="34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42" customHeight="1">
      <c r="A7" s="9" t="inlineStr">
        <is>
          <t>公司编号</t>
        </is>
      </c>
      <c r="B7" s="9" t="inlineStr">
        <is>
          <t>公司名称</t>
        </is>
      </c>
      <c r="C7" s="9" t="inlineStr">
        <is>
          <t>市场</t>
        </is>
      </c>
      <c r="D7" s="9" t="inlineStr">
        <is>
          <t>国家或地区</t>
        </is>
      </c>
      <c r="E7" s="9" t="inlineStr">
        <is>
          <t>行业</t>
        </is>
      </c>
      <c r="F7" s="9" t="inlineStr">
        <is>
          <t>客户来源</t>
        </is>
      </c>
      <c r="G7" s="9" t="inlineStr">
        <is>
          <t>官网</t>
        </is>
      </c>
      <c r="H7" s="9" t="inlineStr">
        <is>
          <t>社媒主页</t>
        </is>
      </c>
      <c r="I7" s="9" t="inlineStr">
        <is>
          <t>地址</t>
        </is>
      </c>
      <c r="J7" s="9" t="inlineStr">
        <is>
          <t>客户负责人</t>
        </is>
      </c>
      <c r="K7" s="9" t="inlineStr">
        <is>
          <t>备注</t>
        </is>
      </c>
      <c r="L7" s="9" t="inlineStr">
        <is>
          <t>原始来源</t>
        </is>
      </c>
      <c r="M7" s="9" t="inlineStr">
        <is>
          <t>编号检查〔自动〕</t>
        </is>
      </c>
    </row>
    <row r="8" ht="34" customHeight="1">
      <c r="A8" s="32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34">
        <f>IF(A8="","",IF(OR(COUNTIF($A$8:$A$207,A8)&lt;&gt;1),"检查编号或关联","正常"))</f>
        <v/>
      </c>
    </row>
    <row r="9" ht="34" customHeight="1">
      <c r="A9" s="32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34">
        <f>IF(A9="","",IF(OR(COUNTIF($A$8:$A$207,A9)&lt;&gt;1),"检查编号或关联","正常"))</f>
        <v/>
      </c>
    </row>
    <row r="10" ht="34" customHeight="1">
      <c r="A10" s="32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34">
        <f>IF(A10="","",IF(OR(COUNTIF($A$8:$A$207,A10)&lt;&gt;1),"检查编号或关联","正常"))</f>
        <v/>
      </c>
    </row>
    <row r="11" ht="34" customHeight="1">
      <c r="A11" s="32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34">
        <f>IF(A11="","",IF(OR(COUNTIF($A$8:$A$207,A11)&lt;&gt;1),"检查编号或关联","正常"))</f>
        <v/>
      </c>
    </row>
    <row r="12" ht="34" customHeight="1">
      <c r="A12" s="32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34">
        <f>IF(A12="","",IF(OR(COUNTIF($A$8:$A$207,A12)&lt;&gt;1),"检查编号或关联","正常"))</f>
        <v/>
      </c>
    </row>
    <row r="13" ht="34" customHeight="1">
      <c r="A13" s="32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34">
        <f>IF(A13="","",IF(OR(COUNTIF($A$8:$A$207,A13)&lt;&gt;1),"检查编号或关联","正常"))</f>
        <v/>
      </c>
    </row>
    <row r="14" ht="34" customHeight="1">
      <c r="A14" s="32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34">
        <f>IF(A14="","",IF(OR(COUNTIF($A$8:$A$207,A14)&lt;&gt;1),"检查编号或关联","正常"))</f>
        <v/>
      </c>
    </row>
    <row r="15" ht="34" customHeight="1">
      <c r="A15" s="32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34">
        <f>IF(A15="","",IF(OR(COUNTIF($A$8:$A$207,A15)&lt;&gt;1),"检查编号或关联","正常"))</f>
        <v/>
      </c>
    </row>
    <row r="16" ht="34" customHeight="1">
      <c r="A16" s="32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34">
        <f>IF(A16="","",IF(OR(COUNTIF($A$8:$A$207,A16)&lt;&gt;1),"检查编号或关联","正常"))</f>
        <v/>
      </c>
    </row>
    <row r="17" ht="34" customHeight="1">
      <c r="A17" s="32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34">
        <f>IF(A17="","",IF(OR(COUNTIF($A$8:$A$207,A17)&lt;&gt;1),"检查编号或关联","正常"))</f>
        <v/>
      </c>
    </row>
    <row r="18" ht="34" customHeight="1">
      <c r="A18" s="32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34">
        <f>IF(A18="","",IF(OR(COUNTIF($A$8:$A$207,A18)&lt;&gt;1),"检查编号或关联","正常"))</f>
        <v/>
      </c>
    </row>
    <row r="19" ht="34" customHeight="1">
      <c r="A19" s="32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34">
        <f>IF(A19="","",IF(OR(COUNTIF($A$8:$A$207,A19)&lt;&gt;1),"检查编号或关联","正常"))</f>
        <v/>
      </c>
    </row>
    <row r="20" ht="34" customHeight="1">
      <c r="A20" s="32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34">
        <f>IF(A20="","",IF(OR(COUNTIF($A$8:$A$207,A20)&lt;&gt;1),"检查编号或关联","正常"))</f>
        <v/>
      </c>
    </row>
    <row r="21" ht="34" customHeight="1">
      <c r="A21" s="32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34">
        <f>IF(A21="","",IF(OR(COUNTIF($A$8:$A$207,A21)&lt;&gt;1),"检查编号或关联","正常"))</f>
        <v/>
      </c>
    </row>
    <row r="22" ht="34" customHeight="1">
      <c r="A22" s="32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34">
        <f>IF(A22="","",IF(OR(COUNTIF($A$8:$A$207,A22)&lt;&gt;1),"检查编号或关联","正常"))</f>
        <v/>
      </c>
    </row>
    <row r="23" ht="34" customHeight="1">
      <c r="A23" s="32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34">
        <f>IF(A23="","",IF(OR(COUNTIF($A$8:$A$207,A23)&lt;&gt;1),"检查编号或关联","正常"))</f>
        <v/>
      </c>
    </row>
    <row r="24" ht="34" customHeight="1">
      <c r="A24" s="32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34">
        <f>IF(A24="","",IF(OR(COUNTIF($A$8:$A$207,A24)&lt;&gt;1),"检查编号或关联","正常"))</f>
        <v/>
      </c>
    </row>
    <row r="25" ht="34" customHeight="1">
      <c r="A25" s="32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34">
        <f>IF(A25="","",IF(OR(COUNTIF($A$8:$A$207,A25)&lt;&gt;1),"检查编号或关联","正常"))</f>
        <v/>
      </c>
    </row>
    <row r="26" ht="34" customHeight="1">
      <c r="A26" s="32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34">
        <f>IF(A26="","",IF(OR(COUNTIF($A$8:$A$207,A26)&lt;&gt;1),"检查编号或关联","正常"))</f>
        <v/>
      </c>
    </row>
    <row r="27" ht="34" customHeight="1">
      <c r="A27" s="32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34">
        <f>IF(A27="","",IF(OR(COUNTIF($A$8:$A$207,A27)&lt;&gt;1),"检查编号或关联","正常"))</f>
        <v/>
      </c>
    </row>
    <row r="28" ht="34" customHeight="1">
      <c r="A28" s="32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34">
        <f>IF(A28="","",IF(OR(COUNTIF($A$8:$A$207,A28)&lt;&gt;1),"检查编号或关联","正常"))</f>
        <v/>
      </c>
    </row>
    <row r="29" ht="34" customHeight="1">
      <c r="A29" s="32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34">
        <f>IF(A29="","",IF(OR(COUNTIF($A$8:$A$207,A29)&lt;&gt;1),"检查编号或关联","正常"))</f>
        <v/>
      </c>
    </row>
    <row r="30" ht="34" customHeight="1">
      <c r="A30" s="32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34">
        <f>IF(A30="","",IF(OR(COUNTIF($A$8:$A$207,A30)&lt;&gt;1),"检查编号或关联","正常"))</f>
        <v/>
      </c>
    </row>
    <row r="31" ht="34" customHeight="1">
      <c r="A31" s="32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34">
        <f>IF(A31="","",IF(OR(COUNTIF($A$8:$A$207,A31)&lt;&gt;1),"检查编号或关联","正常"))</f>
        <v/>
      </c>
    </row>
    <row r="32" ht="34" customHeight="1">
      <c r="A32" s="32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34">
        <f>IF(A32="","",IF(OR(COUNTIF($A$8:$A$207,A32)&lt;&gt;1),"检查编号或关联","正常"))</f>
        <v/>
      </c>
    </row>
    <row r="33" ht="34" customHeight="1">
      <c r="A33" s="32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34">
        <f>IF(A33="","",IF(OR(COUNTIF($A$8:$A$207,A33)&lt;&gt;1),"检查编号或关联","正常"))</f>
        <v/>
      </c>
    </row>
    <row r="34" ht="34" customHeight="1">
      <c r="A34" s="32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34">
        <f>IF(A34="","",IF(OR(COUNTIF($A$8:$A$207,A34)&lt;&gt;1),"检查编号或关联","正常"))</f>
        <v/>
      </c>
    </row>
    <row r="35" ht="34" customHeight="1">
      <c r="A35" s="32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34">
        <f>IF(A35="","",IF(OR(COUNTIF($A$8:$A$207,A35)&lt;&gt;1),"检查编号或关联","正常"))</f>
        <v/>
      </c>
    </row>
    <row r="36" ht="34" customHeight="1">
      <c r="A36" s="32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34">
        <f>IF(A36="","",IF(OR(COUNTIF($A$8:$A$207,A36)&lt;&gt;1),"检查编号或关联","正常"))</f>
        <v/>
      </c>
    </row>
    <row r="37" ht="34" customHeight="1">
      <c r="A37" s="32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34">
        <f>IF(A37="","",IF(OR(COUNTIF($A$8:$A$207,A37)&lt;&gt;1),"检查编号或关联","正常"))</f>
        <v/>
      </c>
    </row>
    <row r="38" ht="34" customHeight="1">
      <c r="A38" s="32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34">
        <f>IF(A38="","",IF(OR(COUNTIF($A$8:$A$207,A38)&lt;&gt;1),"检查编号或关联","正常"))</f>
        <v/>
      </c>
    </row>
    <row r="39" ht="34" customHeight="1">
      <c r="A39" s="32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34">
        <f>IF(A39="","",IF(OR(COUNTIF($A$8:$A$207,A39)&lt;&gt;1),"检查编号或关联","正常"))</f>
        <v/>
      </c>
    </row>
    <row r="40" ht="34" customHeight="1">
      <c r="A40" s="32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34">
        <f>IF(A40="","",IF(OR(COUNTIF($A$8:$A$207,A40)&lt;&gt;1),"检查编号或关联","正常"))</f>
        <v/>
      </c>
    </row>
    <row r="41" ht="34" customHeight="1">
      <c r="A41" s="32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34">
        <f>IF(A41="","",IF(OR(COUNTIF($A$8:$A$207,A41)&lt;&gt;1),"检查编号或关联","正常"))</f>
        <v/>
      </c>
    </row>
    <row r="42" ht="34" customHeight="1">
      <c r="A42" s="32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34">
        <f>IF(A42="","",IF(OR(COUNTIF($A$8:$A$207,A42)&lt;&gt;1),"检查编号或关联","正常"))</f>
        <v/>
      </c>
    </row>
    <row r="43" ht="34" customHeight="1">
      <c r="A43" s="32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34">
        <f>IF(A43="","",IF(OR(COUNTIF($A$8:$A$207,A43)&lt;&gt;1),"检查编号或关联","正常"))</f>
        <v/>
      </c>
    </row>
    <row r="44" ht="34" customHeight="1">
      <c r="A44" s="32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34">
        <f>IF(A44="","",IF(OR(COUNTIF($A$8:$A$207,A44)&lt;&gt;1),"检查编号或关联","正常"))</f>
        <v/>
      </c>
    </row>
    <row r="45" ht="34" customHeight="1">
      <c r="A45" s="32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34">
        <f>IF(A45="","",IF(OR(COUNTIF($A$8:$A$207,A45)&lt;&gt;1),"检查编号或关联","正常"))</f>
        <v/>
      </c>
    </row>
    <row r="46" ht="34" customHeight="1">
      <c r="A46" s="32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34">
        <f>IF(A46="","",IF(OR(COUNTIF($A$8:$A$207,A46)&lt;&gt;1),"检查编号或关联","正常"))</f>
        <v/>
      </c>
    </row>
    <row r="47" ht="34" customHeight="1">
      <c r="A47" s="32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34">
        <f>IF(A47="","",IF(OR(COUNTIF($A$8:$A$207,A47)&lt;&gt;1),"检查编号或关联","正常"))</f>
        <v/>
      </c>
    </row>
    <row r="48" ht="34" customHeight="1">
      <c r="A48" s="32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34">
        <f>IF(A48="","",IF(OR(COUNTIF($A$8:$A$207,A48)&lt;&gt;1),"检查编号或关联","正常"))</f>
        <v/>
      </c>
    </row>
    <row r="49" ht="34" customHeight="1">
      <c r="A49" s="32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34">
        <f>IF(A49="","",IF(OR(COUNTIF($A$8:$A$207,A49)&lt;&gt;1),"检查编号或关联","正常"))</f>
        <v/>
      </c>
    </row>
    <row r="50" ht="34" customHeight="1">
      <c r="A50" s="32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34">
        <f>IF(A50="","",IF(OR(COUNTIF($A$8:$A$207,A50)&lt;&gt;1),"检查编号或关联","正常"))</f>
        <v/>
      </c>
    </row>
    <row r="51" ht="34" customHeight="1">
      <c r="A51" s="32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34">
        <f>IF(A51="","",IF(OR(COUNTIF($A$8:$A$207,A51)&lt;&gt;1),"检查编号或关联","正常"))</f>
        <v/>
      </c>
    </row>
    <row r="52" ht="34" customHeight="1">
      <c r="A52" s="32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34">
        <f>IF(A52="","",IF(OR(COUNTIF($A$8:$A$207,A52)&lt;&gt;1),"检查编号或关联","正常"))</f>
        <v/>
      </c>
    </row>
    <row r="53" ht="34" customHeight="1">
      <c r="A53" s="32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34">
        <f>IF(A53="","",IF(OR(COUNTIF($A$8:$A$207,A53)&lt;&gt;1),"检查编号或关联","正常"))</f>
        <v/>
      </c>
    </row>
    <row r="54" ht="34" customHeight="1">
      <c r="A54" s="32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34">
        <f>IF(A54="","",IF(OR(COUNTIF($A$8:$A$207,A54)&lt;&gt;1),"检查编号或关联","正常"))</f>
        <v/>
      </c>
    </row>
    <row r="55" ht="34" customHeight="1">
      <c r="A55" s="32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34">
        <f>IF(A55="","",IF(OR(COUNTIF($A$8:$A$207,A55)&lt;&gt;1),"检查编号或关联","正常"))</f>
        <v/>
      </c>
    </row>
    <row r="56" ht="34" customHeight="1">
      <c r="A56" s="32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34">
        <f>IF(A56="","",IF(OR(COUNTIF($A$8:$A$207,A56)&lt;&gt;1),"检查编号或关联","正常"))</f>
        <v/>
      </c>
    </row>
    <row r="57" ht="34" customHeight="1">
      <c r="A57" s="32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34">
        <f>IF(A57="","",IF(OR(COUNTIF($A$8:$A$207,A57)&lt;&gt;1),"检查编号或关联","正常"))</f>
        <v/>
      </c>
    </row>
    <row r="58" ht="34" customHeight="1">
      <c r="A58" s="32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34">
        <f>IF(A58="","",IF(OR(COUNTIF($A$8:$A$207,A58)&lt;&gt;1),"检查编号或关联","正常"))</f>
        <v/>
      </c>
    </row>
    <row r="59" ht="34" customHeight="1">
      <c r="A59" s="32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34">
        <f>IF(A59="","",IF(OR(COUNTIF($A$8:$A$207,A59)&lt;&gt;1),"检查编号或关联","正常"))</f>
        <v/>
      </c>
    </row>
    <row r="60" ht="34" customHeight="1">
      <c r="A60" s="32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34">
        <f>IF(A60="","",IF(OR(COUNTIF($A$8:$A$207,A60)&lt;&gt;1),"检查编号或关联","正常"))</f>
        <v/>
      </c>
    </row>
    <row r="61" ht="34" customHeight="1">
      <c r="A61" s="32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34">
        <f>IF(A61="","",IF(OR(COUNTIF($A$8:$A$207,A61)&lt;&gt;1),"检查编号或关联","正常"))</f>
        <v/>
      </c>
    </row>
    <row r="62" ht="34" customHeight="1">
      <c r="A62" s="32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34">
        <f>IF(A62="","",IF(OR(COUNTIF($A$8:$A$207,A62)&lt;&gt;1),"检查编号或关联","正常"))</f>
        <v/>
      </c>
    </row>
    <row r="63" ht="34" customHeight="1">
      <c r="A63" s="32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34">
        <f>IF(A63="","",IF(OR(COUNTIF($A$8:$A$207,A63)&lt;&gt;1),"检查编号或关联","正常"))</f>
        <v/>
      </c>
    </row>
    <row r="64" ht="34" customHeight="1">
      <c r="A64" s="32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34">
        <f>IF(A64="","",IF(OR(COUNTIF($A$8:$A$207,A64)&lt;&gt;1),"检查编号或关联","正常"))</f>
        <v/>
      </c>
    </row>
    <row r="65" ht="34" customHeight="1">
      <c r="A65" s="32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34">
        <f>IF(A65="","",IF(OR(COUNTIF($A$8:$A$207,A65)&lt;&gt;1),"检查编号或关联","正常"))</f>
        <v/>
      </c>
    </row>
    <row r="66" ht="34" customHeight="1">
      <c r="A66" s="32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34">
        <f>IF(A66="","",IF(OR(COUNTIF($A$8:$A$207,A66)&lt;&gt;1),"检查编号或关联","正常"))</f>
        <v/>
      </c>
    </row>
    <row r="67" ht="34" customHeight="1">
      <c r="A67" s="32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34">
        <f>IF(A67="","",IF(OR(COUNTIF($A$8:$A$207,A67)&lt;&gt;1),"检查编号或关联","正常"))</f>
        <v/>
      </c>
    </row>
    <row r="68" ht="34" customHeight="1">
      <c r="A68" s="32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34">
        <f>IF(A68="","",IF(OR(COUNTIF($A$8:$A$207,A68)&lt;&gt;1),"检查编号或关联","正常"))</f>
        <v/>
      </c>
    </row>
    <row r="69" ht="34" customHeight="1">
      <c r="A69" s="32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34">
        <f>IF(A69="","",IF(OR(COUNTIF($A$8:$A$207,A69)&lt;&gt;1),"检查编号或关联","正常"))</f>
        <v/>
      </c>
    </row>
    <row r="70" ht="34" customHeight="1">
      <c r="A70" s="32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34">
        <f>IF(A70="","",IF(OR(COUNTIF($A$8:$A$207,A70)&lt;&gt;1),"检查编号或关联","正常"))</f>
        <v/>
      </c>
    </row>
    <row r="71" ht="34" customHeight="1">
      <c r="A71" s="32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34">
        <f>IF(A71="","",IF(OR(COUNTIF($A$8:$A$207,A71)&lt;&gt;1),"检查编号或关联","正常"))</f>
        <v/>
      </c>
    </row>
    <row r="72" ht="34" customHeight="1">
      <c r="A72" s="32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34">
        <f>IF(A72="","",IF(OR(COUNTIF($A$8:$A$207,A72)&lt;&gt;1),"检查编号或关联","正常"))</f>
        <v/>
      </c>
    </row>
    <row r="73" ht="34" customHeight="1">
      <c r="A73" s="32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34">
        <f>IF(A73="","",IF(OR(COUNTIF($A$8:$A$207,A73)&lt;&gt;1),"检查编号或关联","正常"))</f>
        <v/>
      </c>
    </row>
    <row r="74" ht="34" customHeight="1">
      <c r="A74" s="32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34">
        <f>IF(A74="","",IF(OR(COUNTIF($A$8:$A$207,A74)&lt;&gt;1),"检查编号或关联","正常"))</f>
        <v/>
      </c>
    </row>
    <row r="75" ht="34" customHeight="1">
      <c r="A75" s="32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34">
        <f>IF(A75="","",IF(OR(COUNTIF($A$8:$A$207,A75)&lt;&gt;1),"检查编号或关联","正常"))</f>
        <v/>
      </c>
    </row>
    <row r="76" ht="34" customHeight="1">
      <c r="A76" s="32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34">
        <f>IF(A76="","",IF(OR(COUNTIF($A$8:$A$207,A76)&lt;&gt;1),"检查编号或关联","正常"))</f>
        <v/>
      </c>
    </row>
    <row r="77" ht="34" customHeight="1">
      <c r="A77" s="32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34">
        <f>IF(A77="","",IF(OR(COUNTIF($A$8:$A$207,A77)&lt;&gt;1),"检查编号或关联","正常"))</f>
        <v/>
      </c>
    </row>
    <row r="78" ht="34" customHeight="1">
      <c r="A78" s="32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34">
        <f>IF(A78="","",IF(OR(COUNTIF($A$8:$A$207,A78)&lt;&gt;1),"检查编号或关联","正常"))</f>
        <v/>
      </c>
    </row>
    <row r="79" ht="34" customHeight="1">
      <c r="A79" s="32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34">
        <f>IF(A79="","",IF(OR(COUNTIF($A$8:$A$207,A79)&lt;&gt;1),"检查编号或关联","正常"))</f>
        <v/>
      </c>
    </row>
    <row r="80" ht="34" customHeight="1">
      <c r="A80" s="32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34">
        <f>IF(A80="","",IF(OR(COUNTIF($A$8:$A$207,A80)&lt;&gt;1),"检查编号或关联","正常"))</f>
        <v/>
      </c>
    </row>
    <row r="81" ht="34" customHeight="1">
      <c r="A81" s="32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34">
        <f>IF(A81="","",IF(OR(COUNTIF($A$8:$A$207,A81)&lt;&gt;1),"检查编号或关联","正常"))</f>
        <v/>
      </c>
    </row>
    <row r="82" ht="34" customHeight="1">
      <c r="A82" s="32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34">
        <f>IF(A82="","",IF(OR(COUNTIF($A$8:$A$207,A82)&lt;&gt;1),"检查编号或关联","正常"))</f>
        <v/>
      </c>
    </row>
    <row r="83" ht="34" customHeight="1">
      <c r="A83" s="32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34">
        <f>IF(A83="","",IF(OR(COUNTIF($A$8:$A$207,A83)&lt;&gt;1),"检查编号或关联","正常"))</f>
        <v/>
      </c>
    </row>
    <row r="84" ht="34" customHeight="1">
      <c r="A84" s="32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34">
        <f>IF(A84="","",IF(OR(COUNTIF($A$8:$A$207,A84)&lt;&gt;1),"检查编号或关联","正常"))</f>
        <v/>
      </c>
    </row>
    <row r="85" ht="34" customHeight="1">
      <c r="A85" s="32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34">
        <f>IF(A85="","",IF(OR(COUNTIF($A$8:$A$207,A85)&lt;&gt;1),"检查编号或关联","正常"))</f>
        <v/>
      </c>
    </row>
    <row r="86" ht="34" customHeight="1">
      <c r="A86" s="32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34">
        <f>IF(A86="","",IF(OR(COUNTIF($A$8:$A$207,A86)&lt;&gt;1),"检查编号或关联","正常"))</f>
        <v/>
      </c>
    </row>
    <row r="87" ht="34" customHeight="1">
      <c r="A87" s="32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34">
        <f>IF(A87="","",IF(OR(COUNTIF($A$8:$A$207,A87)&lt;&gt;1),"检查编号或关联","正常"))</f>
        <v/>
      </c>
    </row>
    <row r="88" ht="34" customHeight="1">
      <c r="A88" s="32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34">
        <f>IF(A88="","",IF(OR(COUNTIF($A$8:$A$207,A88)&lt;&gt;1),"检查编号或关联","正常"))</f>
        <v/>
      </c>
    </row>
    <row r="89" ht="34" customHeight="1">
      <c r="A89" s="32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34">
        <f>IF(A89="","",IF(OR(COUNTIF($A$8:$A$207,A89)&lt;&gt;1),"检查编号或关联","正常"))</f>
        <v/>
      </c>
    </row>
    <row r="90" ht="34" customHeight="1">
      <c r="A90" s="32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34">
        <f>IF(A90="","",IF(OR(COUNTIF($A$8:$A$207,A90)&lt;&gt;1),"检查编号或关联","正常"))</f>
        <v/>
      </c>
    </row>
    <row r="91" ht="34" customHeight="1">
      <c r="A91" s="32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34">
        <f>IF(A91="","",IF(OR(COUNTIF($A$8:$A$207,A91)&lt;&gt;1),"检查编号或关联","正常"))</f>
        <v/>
      </c>
    </row>
    <row r="92" ht="34" customHeight="1">
      <c r="A92" s="32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34">
        <f>IF(A92="","",IF(OR(COUNTIF($A$8:$A$207,A92)&lt;&gt;1),"检查编号或关联","正常"))</f>
        <v/>
      </c>
    </row>
    <row r="93" ht="34" customHeight="1">
      <c r="A93" s="32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34">
        <f>IF(A93="","",IF(OR(COUNTIF($A$8:$A$207,A93)&lt;&gt;1),"检查编号或关联","正常"))</f>
        <v/>
      </c>
    </row>
    <row r="94" ht="34" customHeight="1">
      <c r="A94" s="32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34">
        <f>IF(A94="","",IF(OR(COUNTIF($A$8:$A$207,A94)&lt;&gt;1),"检查编号或关联","正常"))</f>
        <v/>
      </c>
    </row>
    <row r="95" ht="34" customHeight="1">
      <c r="A95" s="32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34">
        <f>IF(A95="","",IF(OR(COUNTIF($A$8:$A$207,A95)&lt;&gt;1),"检查编号或关联","正常"))</f>
        <v/>
      </c>
    </row>
    <row r="96" ht="34" customHeight="1">
      <c r="A96" s="32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34">
        <f>IF(A96="","",IF(OR(COUNTIF($A$8:$A$207,A96)&lt;&gt;1),"检查编号或关联","正常"))</f>
        <v/>
      </c>
    </row>
    <row r="97" ht="34" customHeight="1">
      <c r="A97" s="32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34">
        <f>IF(A97="","",IF(OR(COUNTIF($A$8:$A$207,A97)&lt;&gt;1),"检查编号或关联","正常"))</f>
        <v/>
      </c>
    </row>
    <row r="98" ht="34" customHeight="1">
      <c r="A98" s="32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34">
        <f>IF(A98="","",IF(OR(COUNTIF($A$8:$A$207,A98)&lt;&gt;1),"检查编号或关联","正常"))</f>
        <v/>
      </c>
    </row>
    <row r="99" ht="34" customHeight="1">
      <c r="A99" s="32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34">
        <f>IF(A99="","",IF(OR(COUNTIF($A$8:$A$207,A99)&lt;&gt;1),"检查编号或关联","正常"))</f>
        <v/>
      </c>
    </row>
    <row r="100" ht="34" customHeight="1">
      <c r="A100" s="32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34">
        <f>IF(A100="","",IF(OR(COUNTIF($A$8:$A$207,A100)&lt;&gt;1),"检查编号或关联","正常"))</f>
        <v/>
      </c>
    </row>
    <row r="101" ht="34" customHeight="1">
      <c r="A101" s="32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34">
        <f>IF(A101="","",IF(OR(COUNTIF($A$8:$A$207,A101)&lt;&gt;1),"检查编号或关联","正常"))</f>
        <v/>
      </c>
    </row>
    <row r="102" ht="34" customHeight="1">
      <c r="A102" s="32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34">
        <f>IF(A102="","",IF(OR(COUNTIF($A$8:$A$207,A102)&lt;&gt;1),"检查编号或关联","正常"))</f>
        <v/>
      </c>
    </row>
    <row r="103" ht="34" customHeight="1">
      <c r="A103" s="32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34">
        <f>IF(A103="","",IF(OR(COUNTIF($A$8:$A$207,A103)&lt;&gt;1),"检查编号或关联","正常"))</f>
        <v/>
      </c>
    </row>
    <row r="104" ht="34" customHeight="1">
      <c r="A104" s="32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34">
        <f>IF(A104="","",IF(OR(COUNTIF($A$8:$A$207,A104)&lt;&gt;1),"检查编号或关联","正常"))</f>
        <v/>
      </c>
    </row>
    <row r="105" ht="34" customHeight="1">
      <c r="A105" s="32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34">
        <f>IF(A105="","",IF(OR(COUNTIF($A$8:$A$207,A105)&lt;&gt;1),"检查编号或关联","正常"))</f>
        <v/>
      </c>
    </row>
    <row r="106" ht="34" customHeight="1">
      <c r="A106" s="32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34">
        <f>IF(A106="","",IF(OR(COUNTIF($A$8:$A$207,A106)&lt;&gt;1),"检查编号或关联","正常"))</f>
        <v/>
      </c>
    </row>
    <row r="107" ht="34" customHeight="1">
      <c r="A107" s="32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34">
        <f>IF(A107="","",IF(OR(COUNTIF($A$8:$A$207,A107)&lt;&gt;1),"检查编号或关联","正常"))</f>
        <v/>
      </c>
    </row>
    <row r="108" ht="34" customHeight="1">
      <c r="A108" s="32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34">
        <f>IF(A108="","",IF(OR(COUNTIF($A$8:$A$207,A108)&lt;&gt;1),"检查编号或关联","正常"))</f>
        <v/>
      </c>
    </row>
    <row r="109" ht="34" customHeight="1">
      <c r="A109" s="32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34">
        <f>IF(A109="","",IF(OR(COUNTIF($A$8:$A$207,A109)&lt;&gt;1),"检查编号或关联","正常"))</f>
        <v/>
      </c>
    </row>
    <row r="110" ht="34" customHeight="1">
      <c r="A110" s="32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34">
        <f>IF(A110="","",IF(OR(COUNTIF($A$8:$A$207,A110)&lt;&gt;1),"检查编号或关联","正常"))</f>
        <v/>
      </c>
    </row>
    <row r="111" ht="34" customHeight="1">
      <c r="A111" s="32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34">
        <f>IF(A111="","",IF(OR(COUNTIF($A$8:$A$207,A111)&lt;&gt;1),"检查编号或关联","正常"))</f>
        <v/>
      </c>
    </row>
    <row r="112" ht="34" customHeight="1">
      <c r="A112" s="32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34">
        <f>IF(A112="","",IF(OR(COUNTIF($A$8:$A$207,A112)&lt;&gt;1),"检查编号或关联","正常"))</f>
        <v/>
      </c>
    </row>
    <row r="113" ht="34" customHeight="1">
      <c r="A113" s="32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34">
        <f>IF(A113="","",IF(OR(COUNTIF($A$8:$A$207,A113)&lt;&gt;1),"检查编号或关联","正常"))</f>
        <v/>
      </c>
    </row>
    <row r="114" ht="34" customHeight="1">
      <c r="A114" s="32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34">
        <f>IF(A114="","",IF(OR(COUNTIF($A$8:$A$207,A114)&lt;&gt;1),"检查编号或关联","正常"))</f>
        <v/>
      </c>
    </row>
    <row r="115" ht="34" customHeight="1">
      <c r="A115" s="32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34">
        <f>IF(A115="","",IF(OR(COUNTIF($A$8:$A$207,A115)&lt;&gt;1),"检查编号或关联","正常"))</f>
        <v/>
      </c>
    </row>
    <row r="116" ht="34" customHeight="1">
      <c r="A116" s="32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34">
        <f>IF(A116="","",IF(OR(COUNTIF($A$8:$A$207,A116)&lt;&gt;1),"检查编号或关联","正常"))</f>
        <v/>
      </c>
    </row>
    <row r="117" ht="34" customHeight="1">
      <c r="A117" s="32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34">
        <f>IF(A117="","",IF(OR(COUNTIF($A$8:$A$207,A117)&lt;&gt;1),"检查编号或关联","正常"))</f>
        <v/>
      </c>
    </row>
    <row r="118" ht="34" customHeight="1">
      <c r="A118" s="32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34">
        <f>IF(A118="","",IF(OR(COUNTIF($A$8:$A$207,A118)&lt;&gt;1),"检查编号或关联","正常"))</f>
        <v/>
      </c>
    </row>
    <row r="119" ht="34" customHeight="1">
      <c r="A119" s="32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34">
        <f>IF(A119="","",IF(OR(COUNTIF($A$8:$A$207,A119)&lt;&gt;1),"检查编号或关联","正常"))</f>
        <v/>
      </c>
    </row>
    <row r="120" ht="34" customHeight="1">
      <c r="A120" s="32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34">
        <f>IF(A120="","",IF(OR(COUNTIF($A$8:$A$207,A120)&lt;&gt;1),"检查编号或关联","正常"))</f>
        <v/>
      </c>
    </row>
    <row r="121" ht="34" customHeight="1">
      <c r="A121" s="32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34">
        <f>IF(A121="","",IF(OR(COUNTIF($A$8:$A$207,A121)&lt;&gt;1),"检查编号或关联","正常"))</f>
        <v/>
      </c>
    </row>
    <row r="122" ht="34" customHeight="1">
      <c r="A122" s="32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34">
        <f>IF(A122="","",IF(OR(COUNTIF($A$8:$A$207,A122)&lt;&gt;1),"检查编号或关联","正常"))</f>
        <v/>
      </c>
    </row>
    <row r="123" ht="34" customHeight="1">
      <c r="A123" s="32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34">
        <f>IF(A123="","",IF(OR(COUNTIF($A$8:$A$207,A123)&lt;&gt;1),"检查编号或关联","正常"))</f>
        <v/>
      </c>
    </row>
    <row r="124" ht="34" customHeight="1">
      <c r="A124" s="32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34">
        <f>IF(A124="","",IF(OR(COUNTIF($A$8:$A$207,A124)&lt;&gt;1),"检查编号或关联","正常"))</f>
        <v/>
      </c>
    </row>
    <row r="125" ht="34" customHeight="1">
      <c r="A125" s="32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34">
        <f>IF(A125="","",IF(OR(COUNTIF($A$8:$A$207,A125)&lt;&gt;1),"检查编号或关联","正常"))</f>
        <v/>
      </c>
    </row>
    <row r="126" ht="34" customHeight="1">
      <c r="A126" s="32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34">
        <f>IF(A126="","",IF(OR(COUNTIF($A$8:$A$207,A126)&lt;&gt;1),"检查编号或关联","正常"))</f>
        <v/>
      </c>
    </row>
    <row r="127" ht="34" customHeight="1">
      <c r="A127" s="32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34">
        <f>IF(A127="","",IF(OR(COUNTIF($A$8:$A$207,A127)&lt;&gt;1),"检查编号或关联","正常"))</f>
        <v/>
      </c>
    </row>
    <row r="128" ht="34" customHeight="1">
      <c r="A128" s="32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34">
        <f>IF(A128="","",IF(OR(COUNTIF($A$8:$A$207,A128)&lt;&gt;1),"检查编号或关联","正常"))</f>
        <v/>
      </c>
    </row>
    <row r="129" ht="34" customHeight="1">
      <c r="A129" s="32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34">
        <f>IF(A129="","",IF(OR(COUNTIF($A$8:$A$207,A129)&lt;&gt;1),"检查编号或关联","正常"))</f>
        <v/>
      </c>
    </row>
    <row r="130" ht="34" customHeight="1">
      <c r="A130" s="32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34">
        <f>IF(A130="","",IF(OR(COUNTIF($A$8:$A$207,A130)&lt;&gt;1),"检查编号或关联","正常"))</f>
        <v/>
      </c>
    </row>
    <row r="131" ht="34" customHeight="1">
      <c r="A131" s="32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34">
        <f>IF(A131="","",IF(OR(COUNTIF($A$8:$A$207,A131)&lt;&gt;1),"检查编号或关联","正常"))</f>
        <v/>
      </c>
    </row>
    <row r="132" ht="34" customHeight="1">
      <c r="A132" s="32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34">
        <f>IF(A132="","",IF(OR(COUNTIF($A$8:$A$207,A132)&lt;&gt;1),"检查编号或关联","正常"))</f>
        <v/>
      </c>
    </row>
    <row r="133" ht="34" customHeight="1">
      <c r="A133" s="32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34">
        <f>IF(A133="","",IF(OR(COUNTIF($A$8:$A$207,A133)&lt;&gt;1),"检查编号或关联","正常"))</f>
        <v/>
      </c>
    </row>
    <row r="134" ht="34" customHeight="1">
      <c r="A134" s="32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34">
        <f>IF(A134="","",IF(OR(COUNTIF($A$8:$A$207,A134)&lt;&gt;1),"检查编号或关联","正常"))</f>
        <v/>
      </c>
    </row>
    <row r="135" ht="34" customHeight="1">
      <c r="A135" s="32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34">
        <f>IF(A135="","",IF(OR(COUNTIF($A$8:$A$207,A135)&lt;&gt;1),"检查编号或关联","正常"))</f>
        <v/>
      </c>
    </row>
    <row r="136" ht="34" customHeight="1">
      <c r="A136" s="32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34">
        <f>IF(A136="","",IF(OR(COUNTIF($A$8:$A$207,A136)&lt;&gt;1),"检查编号或关联","正常"))</f>
        <v/>
      </c>
    </row>
    <row r="137" ht="34" customHeight="1">
      <c r="A137" s="32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34">
        <f>IF(A137="","",IF(OR(COUNTIF($A$8:$A$207,A137)&lt;&gt;1),"检查编号或关联","正常"))</f>
        <v/>
      </c>
    </row>
    <row r="138" ht="34" customHeight="1">
      <c r="A138" s="32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34">
        <f>IF(A138="","",IF(OR(COUNTIF($A$8:$A$207,A138)&lt;&gt;1),"检查编号或关联","正常"))</f>
        <v/>
      </c>
    </row>
    <row r="139" ht="34" customHeight="1">
      <c r="A139" s="32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34">
        <f>IF(A139="","",IF(OR(COUNTIF($A$8:$A$207,A139)&lt;&gt;1),"检查编号或关联","正常"))</f>
        <v/>
      </c>
    </row>
    <row r="140" ht="34" customHeight="1">
      <c r="A140" s="32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34">
        <f>IF(A140="","",IF(OR(COUNTIF($A$8:$A$207,A140)&lt;&gt;1),"检查编号或关联","正常"))</f>
        <v/>
      </c>
    </row>
    <row r="141" ht="34" customHeight="1">
      <c r="A141" s="32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34">
        <f>IF(A141="","",IF(OR(COUNTIF($A$8:$A$207,A141)&lt;&gt;1),"检查编号或关联","正常"))</f>
        <v/>
      </c>
    </row>
    <row r="142" ht="34" customHeight="1">
      <c r="A142" s="32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34">
        <f>IF(A142="","",IF(OR(COUNTIF($A$8:$A$207,A142)&lt;&gt;1),"检查编号或关联","正常"))</f>
        <v/>
      </c>
    </row>
    <row r="143" ht="34" customHeight="1">
      <c r="A143" s="32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34">
        <f>IF(A143="","",IF(OR(COUNTIF($A$8:$A$207,A143)&lt;&gt;1),"检查编号或关联","正常"))</f>
        <v/>
      </c>
    </row>
    <row r="144" ht="34" customHeight="1">
      <c r="A144" s="32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34">
        <f>IF(A144="","",IF(OR(COUNTIF($A$8:$A$207,A144)&lt;&gt;1),"检查编号或关联","正常"))</f>
        <v/>
      </c>
    </row>
    <row r="145" ht="34" customHeight="1">
      <c r="A145" s="32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34">
        <f>IF(A145="","",IF(OR(COUNTIF($A$8:$A$207,A145)&lt;&gt;1),"检查编号或关联","正常"))</f>
        <v/>
      </c>
    </row>
    <row r="146" ht="34" customHeight="1">
      <c r="A146" s="32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34">
        <f>IF(A146="","",IF(OR(COUNTIF($A$8:$A$207,A146)&lt;&gt;1),"检查编号或关联","正常"))</f>
        <v/>
      </c>
    </row>
    <row r="147" ht="34" customHeight="1">
      <c r="A147" s="32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34">
        <f>IF(A147="","",IF(OR(COUNTIF($A$8:$A$207,A147)&lt;&gt;1),"检查编号或关联","正常"))</f>
        <v/>
      </c>
    </row>
    <row r="148" ht="34" customHeight="1">
      <c r="A148" s="32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34">
        <f>IF(A148="","",IF(OR(COUNTIF($A$8:$A$207,A148)&lt;&gt;1),"检查编号或关联","正常"))</f>
        <v/>
      </c>
    </row>
    <row r="149" ht="34" customHeight="1">
      <c r="A149" s="32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34">
        <f>IF(A149="","",IF(OR(COUNTIF($A$8:$A$207,A149)&lt;&gt;1),"检查编号或关联","正常"))</f>
        <v/>
      </c>
    </row>
    <row r="150" ht="34" customHeight="1">
      <c r="A150" s="32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34">
        <f>IF(A150="","",IF(OR(COUNTIF($A$8:$A$207,A150)&lt;&gt;1),"检查编号或关联","正常"))</f>
        <v/>
      </c>
    </row>
    <row r="151" ht="34" customHeight="1">
      <c r="A151" s="32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34">
        <f>IF(A151="","",IF(OR(COUNTIF($A$8:$A$207,A151)&lt;&gt;1),"检查编号或关联","正常"))</f>
        <v/>
      </c>
    </row>
    <row r="152" ht="34" customHeight="1">
      <c r="A152" s="32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34">
        <f>IF(A152="","",IF(OR(COUNTIF($A$8:$A$207,A152)&lt;&gt;1),"检查编号或关联","正常"))</f>
        <v/>
      </c>
    </row>
    <row r="153" ht="34" customHeight="1">
      <c r="A153" s="32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34">
        <f>IF(A153="","",IF(OR(COUNTIF($A$8:$A$207,A153)&lt;&gt;1),"检查编号或关联","正常"))</f>
        <v/>
      </c>
    </row>
    <row r="154" ht="34" customHeight="1">
      <c r="A154" s="32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34">
        <f>IF(A154="","",IF(OR(COUNTIF($A$8:$A$207,A154)&lt;&gt;1),"检查编号或关联","正常"))</f>
        <v/>
      </c>
    </row>
    <row r="155" ht="34" customHeight="1">
      <c r="A155" s="32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34">
        <f>IF(A155="","",IF(OR(COUNTIF($A$8:$A$207,A155)&lt;&gt;1),"检查编号或关联","正常"))</f>
        <v/>
      </c>
    </row>
    <row r="156" ht="34" customHeight="1">
      <c r="A156" s="32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34">
        <f>IF(A156="","",IF(OR(COUNTIF($A$8:$A$207,A156)&lt;&gt;1),"检查编号或关联","正常"))</f>
        <v/>
      </c>
    </row>
    <row r="157" ht="34" customHeight="1">
      <c r="A157" s="32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34">
        <f>IF(A157="","",IF(OR(COUNTIF($A$8:$A$207,A157)&lt;&gt;1),"检查编号或关联","正常"))</f>
        <v/>
      </c>
    </row>
    <row r="158" ht="34" customHeight="1">
      <c r="A158" s="32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34">
        <f>IF(A158="","",IF(OR(COUNTIF($A$8:$A$207,A158)&lt;&gt;1),"检查编号或关联","正常"))</f>
        <v/>
      </c>
    </row>
    <row r="159" ht="34" customHeight="1">
      <c r="A159" s="32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34">
        <f>IF(A159="","",IF(OR(COUNTIF($A$8:$A$207,A159)&lt;&gt;1),"检查编号或关联","正常"))</f>
        <v/>
      </c>
    </row>
    <row r="160" ht="34" customHeight="1">
      <c r="A160" s="32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34">
        <f>IF(A160="","",IF(OR(COUNTIF($A$8:$A$207,A160)&lt;&gt;1),"检查编号或关联","正常"))</f>
        <v/>
      </c>
    </row>
    <row r="161" ht="34" customHeight="1">
      <c r="A161" s="32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34">
        <f>IF(A161="","",IF(OR(COUNTIF($A$8:$A$207,A161)&lt;&gt;1),"检查编号或关联","正常"))</f>
        <v/>
      </c>
    </row>
    <row r="162" ht="34" customHeight="1">
      <c r="A162" s="32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34">
        <f>IF(A162="","",IF(OR(COUNTIF($A$8:$A$207,A162)&lt;&gt;1),"检查编号或关联","正常"))</f>
        <v/>
      </c>
    </row>
    <row r="163" ht="34" customHeight="1">
      <c r="A163" s="32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34">
        <f>IF(A163="","",IF(OR(COUNTIF($A$8:$A$207,A163)&lt;&gt;1),"检查编号或关联","正常"))</f>
        <v/>
      </c>
    </row>
    <row r="164" ht="34" customHeight="1">
      <c r="A164" s="32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34">
        <f>IF(A164="","",IF(OR(COUNTIF($A$8:$A$207,A164)&lt;&gt;1),"检查编号或关联","正常"))</f>
        <v/>
      </c>
    </row>
    <row r="165" ht="34" customHeight="1">
      <c r="A165" s="32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34">
        <f>IF(A165="","",IF(OR(COUNTIF($A$8:$A$207,A165)&lt;&gt;1),"检查编号或关联","正常"))</f>
        <v/>
      </c>
    </row>
    <row r="166" ht="34" customHeight="1">
      <c r="A166" s="32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34">
        <f>IF(A166="","",IF(OR(COUNTIF($A$8:$A$207,A166)&lt;&gt;1),"检查编号或关联","正常"))</f>
        <v/>
      </c>
    </row>
    <row r="167" ht="34" customHeight="1">
      <c r="A167" s="32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34">
        <f>IF(A167="","",IF(OR(COUNTIF($A$8:$A$207,A167)&lt;&gt;1),"检查编号或关联","正常"))</f>
        <v/>
      </c>
    </row>
    <row r="168" ht="34" customHeight="1">
      <c r="A168" s="32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34">
        <f>IF(A168="","",IF(OR(COUNTIF($A$8:$A$207,A168)&lt;&gt;1),"检查编号或关联","正常"))</f>
        <v/>
      </c>
    </row>
    <row r="169" ht="34" customHeight="1">
      <c r="A169" s="32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34">
        <f>IF(A169="","",IF(OR(COUNTIF($A$8:$A$207,A169)&lt;&gt;1),"检查编号或关联","正常"))</f>
        <v/>
      </c>
    </row>
    <row r="170" ht="34" customHeight="1">
      <c r="A170" s="32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34">
        <f>IF(A170="","",IF(OR(COUNTIF($A$8:$A$207,A170)&lt;&gt;1),"检查编号或关联","正常"))</f>
        <v/>
      </c>
    </row>
    <row r="171" ht="34" customHeight="1">
      <c r="A171" s="32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34">
        <f>IF(A171="","",IF(OR(COUNTIF($A$8:$A$207,A171)&lt;&gt;1),"检查编号或关联","正常"))</f>
        <v/>
      </c>
    </row>
    <row r="172" ht="34" customHeight="1">
      <c r="A172" s="32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34">
        <f>IF(A172="","",IF(OR(COUNTIF($A$8:$A$207,A172)&lt;&gt;1),"检查编号或关联","正常"))</f>
        <v/>
      </c>
    </row>
    <row r="173" ht="34" customHeight="1">
      <c r="A173" s="32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34">
        <f>IF(A173="","",IF(OR(COUNTIF($A$8:$A$207,A173)&lt;&gt;1),"检查编号或关联","正常"))</f>
        <v/>
      </c>
    </row>
    <row r="174" ht="34" customHeight="1">
      <c r="A174" s="32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34">
        <f>IF(A174="","",IF(OR(COUNTIF($A$8:$A$207,A174)&lt;&gt;1),"检查编号或关联","正常"))</f>
        <v/>
      </c>
    </row>
    <row r="175" ht="34" customHeight="1">
      <c r="A175" s="32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34">
        <f>IF(A175="","",IF(OR(COUNTIF($A$8:$A$207,A175)&lt;&gt;1),"检查编号或关联","正常"))</f>
        <v/>
      </c>
    </row>
    <row r="176" ht="34" customHeight="1">
      <c r="A176" s="32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34">
        <f>IF(A176="","",IF(OR(COUNTIF($A$8:$A$207,A176)&lt;&gt;1),"检查编号或关联","正常"))</f>
        <v/>
      </c>
    </row>
    <row r="177" ht="34" customHeight="1">
      <c r="A177" s="32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34">
        <f>IF(A177="","",IF(OR(COUNTIF($A$8:$A$207,A177)&lt;&gt;1),"检查编号或关联","正常"))</f>
        <v/>
      </c>
    </row>
    <row r="178" ht="34" customHeight="1">
      <c r="A178" s="32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34">
        <f>IF(A178="","",IF(OR(COUNTIF($A$8:$A$207,A178)&lt;&gt;1),"检查编号或关联","正常"))</f>
        <v/>
      </c>
    </row>
    <row r="179" ht="34" customHeight="1">
      <c r="A179" s="32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34">
        <f>IF(A179="","",IF(OR(COUNTIF($A$8:$A$207,A179)&lt;&gt;1),"检查编号或关联","正常"))</f>
        <v/>
      </c>
    </row>
    <row r="180" ht="34" customHeight="1">
      <c r="A180" s="32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34">
        <f>IF(A180="","",IF(OR(COUNTIF($A$8:$A$207,A180)&lt;&gt;1),"检查编号或关联","正常"))</f>
        <v/>
      </c>
    </row>
    <row r="181" ht="34" customHeight="1">
      <c r="A181" s="32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34">
        <f>IF(A181="","",IF(OR(COUNTIF($A$8:$A$207,A181)&lt;&gt;1),"检查编号或关联","正常"))</f>
        <v/>
      </c>
    </row>
    <row r="182" ht="34" customHeight="1">
      <c r="A182" s="32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34">
        <f>IF(A182="","",IF(OR(COUNTIF($A$8:$A$207,A182)&lt;&gt;1),"检查编号或关联","正常"))</f>
        <v/>
      </c>
    </row>
    <row r="183" ht="34" customHeight="1">
      <c r="A183" s="32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34">
        <f>IF(A183="","",IF(OR(COUNTIF($A$8:$A$207,A183)&lt;&gt;1),"检查编号或关联","正常"))</f>
        <v/>
      </c>
    </row>
    <row r="184" ht="34" customHeight="1">
      <c r="A184" s="32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34">
        <f>IF(A184="","",IF(OR(COUNTIF($A$8:$A$207,A184)&lt;&gt;1),"检查编号或关联","正常"))</f>
        <v/>
      </c>
    </row>
    <row r="185" ht="34" customHeight="1">
      <c r="A185" s="32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34">
        <f>IF(A185="","",IF(OR(COUNTIF($A$8:$A$207,A185)&lt;&gt;1),"检查编号或关联","正常"))</f>
        <v/>
      </c>
    </row>
    <row r="186" ht="34" customHeight="1">
      <c r="A186" s="32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34">
        <f>IF(A186="","",IF(OR(COUNTIF($A$8:$A$207,A186)&lt;&gt;1),"检查编号或关联","正常"))</f>
        <v/>
      </c>
    </row>
    <row r="187" ht="34" customHeight="1">
      <c r="A187" s="32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34">
        <f>IF(A187="","",IF(OR(COUNTIF($A$8:$A$207,A187)&lt;&gt;1),"检查编号或关联","正常"))</f>
        <v/>
      </c>
    </row>
    <row r="188" ht="34" customHeight="1">
      <c r="A188" s="32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34">
        <f>IF(A188="","",IF(OR(COUNTIF($A$8:$A$207,A188)&lt;&gt;1),"检查编号或关联","正常"))</f>
        <v/>
      </c>
    </row>
    <row r="189" ht="34" customHeight="1">
      <c r="A189" s="32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34">
        <f>IF(A189="","",IF(OR(COUNTIF($A$8:$A$207,A189)&lt;&gt;1),"检查编号或关联","正常"))</f>
        <v/>
      </c>
    </row>
    <row r="190" ht="34" customHeight="1">
      <c r="A190" s="32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34">
        <f>IF(A190="","",IF(OR(COUNTIF($A$8:$A$207,A190)&lt;&gt;1),"检查编号或关联","正常"))</f>
        <v/>
      </c>
    </row>
    <row r="191" ht="34" customHeight="1">
      <c r="A191" s="32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34">
        <f>IF(A191="","",IF(OR(COUNTIF($A$8:$A$207,A191)&lt;&gt;1),"检查编号或关联","正常"))</f>
        <v/>
      </c>
    </row>
    <row r="192" ht="34" customHeight="1">
      <c r="A192" s="32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34">
        <f>IF(A192="","",IF(OR(COUNTIF($A$8:$A$207,A192)&lt;&gt;1),"检查编号或关联","正常"))</f>
        <v/>
      </c>
    </row>
    <row r="193" ht="34" customHeight="1">
      <c r="A193" s="32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34">
        <f>IF(A193="","",IF(OR(COUNTIF($A$8:$A$207,A193)&lt;&gt;1),"检查编号或关联","正常"))</f>
        <v/>
      </c>
    </row>
    <row r="194" ht="34" customHeight="1">
      <c r="A194" s="32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34">
        <f>IF(A194="","",IF(OR(COUNTIF($A$8:$A$207,A194)&lt;&gt;1),"检查编号或关联","正常"))</f>
        <v/>
      </c>
    </row>
    <row r="195" ht="34" customHeight="1">
      <c r="A195" s="32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34">
        <f>IF(A195="","",IF(OR(COUNTIF($A$8:$A$207,A195)&lt;&gt;1),"检查编号或关联","正常"))</f>
        <v/>
      </c>
    </row>
    <row r="196" ht="34" customHeight="1">
      <c r="A196" s="32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34">
        <f>IF(A196="","",IF(OR(COUNTIF($A$8:$A$207,A196)&lt;&gt;1),"检查编号或关联","正常"))</f>
        <v/>
      </c>
    </row>
    <row r="197" ht="34" customHeight="1">
      <c r="A197" s="32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34">
        <f>IF(A197="","",IF(OR(COUNTIF($A$8:$A$207,A197)&lt;&gt;1),"检查编号或关联","正常"))</f>
        <v/>
      </c>
    </row>
    <row r="198" ht="34" customHeight="1">
      <c r="A198" s="32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34">
        <f>IF(A198="","",IF(OR(COUNTIF($A$8:$A$207,A198)&lt;&gt;1),"检查编号或关联","正常"))</f>
        <v/>
      </c>
    </row>
    <row r="199" ht="34" customHeight="1">
      <c r="A199" s="32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34">
        <f>IF(A199="","",IF(OR(COUNTIF($A$8:$A$207,A199)&lt;&gt;1),"检查编号或关联","正常"))</f>
        <v/>
      </c>
    </row>
    <row r="200" ht="34" customHeight="1">
      <c r="A200" s="32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34">
        <f>IF(A200="","",IF(OR(COUNTIF($A$8:$A$207,A200)&lt;&gt;1),"检查编号或关联","正常"))</f>
        <v/>
      </c>
    </row>
    <row r="201" ht="34" customHeight="1">
      <c r="A201" s="32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34">
        <f>IF(A201="","",IF(OR(COUNTIF($A$8:$A$207,A201)&lt;&gt;1),"检查编号或关联","正常"))</f>
        <v/>
      </c>
    </row>
    <row r="202" ht="34" customHeight="1">
      <c r="A202" s="32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34">
        <f>IF(A202="","",IF(OR(COUNTIF($A$8:$A$207,A202)&lt;&gt;1),"检查编号或关联","正常"))</f>
        <v/>
      </c>
    </row>
    <row r="203" ht="34" customHeight="1">
      <c r="A203" s="32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34">
        <f>IF(A203="","",IF(OR(COUNTIF($A$8:$A$207,A203)&lt;&gt;1),"检查编号或关联","正常"))</f>
        <v/>
      </c>
    </row>
    <row r="204" ht="34" customHeight="1">
      <c r="A204" s="32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34">
        <f>IF(A204="","",IF(OR(COUNTIF($A$8:$A$207,A204)&lt;&gt;1),"检查编号或关联","正常"))</f>
        <v/>
      </c>
    </row>
    <row r="205" ht="34" customHeight="1">
      <c r="A205" s="32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34">
        <f>IF(A205="","",IF(OR(COUNTIF($A$8:$A$207,A205)&lt;&gt;1),"检查编号或关联","正常"))</f>
        <v/>
      </c>
    </row>
    <row r="206" ht="34" customHeight="1">
      <c r="A206" s="32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34">
        <f>IF(A206="","",IF(OR(COUNTIF($A$8:$A$207,A206)&lt;&gt;1),"检查编号或关联","正常"))</f>
        <v/>
      </c>
    </row>
    <row r="207" ht="34" customHeight="1">
      <c r="A207" s="32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34">
        <f>IF(A207="","",IF(OR(COUNTIF($A$8:$A$207,A207)&lt;&gt;1),"检查编号或关联","正常"))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M8:M207">
    <cfRule type="containsText" priority="2" operator="containsText" dxfId="0" text="检查"/>
  </conditionalFormatting>
  <dataValidations count="2">
    <dataValidation sqref="C8:C207" showDropDown="0" showInputMessage="0" showErrorMessage="0" allowBlank="0" type="list">
      <formula1>"国内,国外"</formula1>
    </dataValidation>
    <dataValidation sqref="F8:F207" showDropDown="0" showInputMessage="0" showErrorMessage="0" allowBlank="0" type="list">
      <formula1>"拜访,转介绍,展会,邮箱,社交媒体,官网询盘,其他"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8297AA"/>
    <outlinePr summaryBelow="1" summaryRight="1"/>
    <pageSetUpPr/>
  </sheetPr>
  <dimension ref="A1:N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36" customWidth="1" min="13" max="13"/>
    <col width="19" customWidth="1" min="14" max="14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4" t="inlineStr">
        <is>
          <t>联系人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4" customHeight="1">
      <c r="A3" s="5" t="inlineStr">
        <is>
          <t>一家公司可登记多个人。按公司编号关联；职责按实际沟通确认。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00" customHeight="1">
      <c r="A5" s="7" t="inlineStr">
        <is>
          <t>P示例001</t>
        </is>
      </c>
      <c r="B5" s="7" t="inlineStr">
        <is>
          <t>C示例001</t>
        </is>
      </c>
      <c r="C5" s="7" t="inlineStr">
        <is>
          <t>示例电源公司</t>
        </is>
      </c>
      <c r="D5" s="7" t="inlineStr">
        <is>
          <t>张工〔虚构〕</t>
        </is>
      </c>
      <c r="E5" s="7" t="inlineStr">
        <is>
          <t>研发工程师</t>
        </is>
      </c>
      <c r="F5" s="7" t="inlineStr">
        <is>
          <t>安排测试，是否决策待确认</t>
        </is>
      </c>
      <c r="G5" s="7" t="str"/>
      <c r="H5" s="7" t="str"/>
      <c r="I5" s="7" t="str"/>
      <c r="J5" s="7" t="inlineStr">
        <is>
          <t>中文</t>
        </is>
      </c>
      <c r="K5" s="7" t="inlineStr">
        <is>
          <t>Asia/Shanghai</t>
        </is>
      </c>
      <c r="L5" s="7" t="inlineStr">
        <is>
          <t>在职</t>
        </is>
      </c>
      <c r="M5" s="7" t="inlineStr">
        <is>
          <t>虚构示例</t>
        </is>
      </c>
      <c r="N5" s="7" t="inlineStr">
        <is>
          <t>示例</t>
        </is>
      </c>
    </row>
    <row r="6" ht="34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42" customHeight="1">
      <c r="A7" s="9" t="inlineStr">
        <is>
          <t>联系人编号</t>
        </is>
      </c>
      <c r="B7" s="9" t="inlineStr">
        <is>
          <t>公司编号</t>
        </is>
      </c>
      <c r="C7" s="9" t="inlineStr">
        <is>
          <t>公司名称〔自动〕</t>
        </is>
      </c>
      <c r="D7" s="9" t="inlineStr">
        <is>
          <t>姓名</t>
        </is>
      </c>
      <c r="E7" s="9" t="inlineStr">
        <is>
          <t>职位</t>
        </is>
      </c>
      <c r="F7" s="9" t="inlineStr">
        <is>
          <t>项目职责</t>
        </is>
      </c>
      <c r="G7" s="9" t="inlineStr">
        <is>
          <t>电话</t>
        </is>
      </c>
      <c r="H7" s="9" t="inlineStr">
        <is>
          <t>邮箱</t>
        </is>
      </c>
      <c r="I7" s="9" t="inlineStr">
        <is>
          <t>微信或社媒</t>
        </is>
      </c>
      <c r="J7" s="9" t="inlineStr">
        <is>
          <t>沟通语言</t>
        </is>
      </c>
      <c r="K7" s="9" t="inlineStr">
        <is>
          <t>时区</t>
        </is>
      </c>
      <c r="L7" s="9" t="inlineStr">
        <is>
          <t>在职状态</t>
        </is>
      </c>
      <c r="M7" s="9" t="inlineStr">
        <is>
          <t>来源与确认日期</t>
        </is>
      </c>
      <c r="N7" s="9" t="inlineStr">
        <is>
          <t>关联检查〔自动〕</t>
        </is>
      </c>
    </row>
    <row r="8" ht="34" customHeight="1">
      <c r="A8" s="32" t="n"/>
      <c r="B8" s="32" t="n"/>
      <c r="C8" s="16">
        <f>IF(B8="","",IF(COUNTIF('公司'!$A$8:$A$207,B8)&lt;&gt;1,"编号缺失或重复",INDEX('公司'!$B$8:$B$207,MATCH(B8,'公司'!$A$8:$A$207,0))))</f>
        <v/>
      </c>
      <c r="D8" s="10" t="n"/>
      <c r="E8" s="10" t="n"/>
      <c r="F8" s="10" t="n"/>
      <c r="G8" s="32" t="n"/>
      <c r="H8" s="10" t="n"/>
      <c r="I8" s="10" t="n"/>
      <c r="J8" s="10" t="n"/>
      <c r="K8" s="10" t="n"/>
      <c r="L8" s="10" t="n"/>
      <c r="M8" s="10" t="n"/>
      <c r="N8" s="16">
        <f>IF(A8="","",IF(OR(COUNTIF($A$8:$A$207,A8)&lt;&gt;1,COUNTIF('公司'!$A$8:$A$207,B8)&lt;&gt;1),"检查编号或关联","正常"))</f>
        <v/>
      </c>
    </row>
    <row r="9" ht="34" customHeight="1">
      <c r="A9" s="32" t="n"/>
      <c r="B9" s="32" t="n"/>
      <c r="C9" s="16">
        <f>IF(B9="","",IF(COUNTIF('公司'!$A$8:$A$207,B9)&lt;&gt;1,"编号缺失或重复",INDEX('公司'!$B$8:$B$207,MATCH(B9,'公司'!$A$8:$A$207,0))))</f>
        <v/>
      </c>
      <c r="D9" s="10" t="n"/>
      <c r="E9" s="10" t="n"/>
      <c r="F9" s="10" t="n"/>
      <c r="G9" s="32" t="n"/>
      <c r="H9" s="10" t="n"/>
      <c r="I9" s="10" t="n"/>
      <c r="J9" s="10" t="n"/>
      <c r="K9" s="10" t="n"/>
      <c r="L9" s="10" t="n"/>
      <c r="M9" s="10" t="n"/>
      <c r="N9" s="16">
        <f>IF(A9="","",IF(OR(COUNTIF($A$8:$A$207,A9)&lt;&gt;1,COUNTIF('公司'!$A$8:$A$207,B9)&lt;&gt;1),"检查编号或关联","正常"))</f>
        <v/>
      </c>
    </row>
    <row r="10" ht="34" customHeight="1">
      <c r="A10" s="32" t="n"/>
      <c r="B10" s="32" t="n"/>
      <c r="C10" s="16">
        <f>IF(B10="","",IF(COUNTIF('公司'!$A$8:$A$207,B10)&lt;&gt;1,"编号缺失或重复",INDEX('公司'!$B$8:$B$207,MATCH(B10,'公司'!$A$8:$A$207,0))))</f>
        <v/>
      </c>
      <c r="D10" s="10" t="n"/>
      <c r="E10" s="10" t="n"/>
      <c r="F10" s="10" t="n"/>
      <c r="G10" s="32" t="n"/>
      <c r="H10" s="10" t="n"/>
      <c r="I10" s="10" t="n"/>
      <c r="J10" s="10" t="n"/>
      <c r="K10" s="10" t="n"/>
      <c r="L10" s="10" t="n"/>
      <c r="M10" s="10" t="n"/>
      <c r="N10" s="16">
        <f>IF(A10="","",IF(OR(COUNTIF($A$8:$A$207,A10)&lt;&gt;1,COUNTIF('公司'!$A$8:$A$207,B10)&lt;&gt;1),"检查编号或关联","正常"))</f>
        <v/>
      </c>
    </row>
    <row r="11" ht="34" customHeight="1">
      <c r="A11" s="32" t="n"/>
      <c r="B11" s="32" t="n"/>
      <c r="C11" s="16">
        <f>IF(B11="","",IF(COUNTIF('公司'!$A$8:$A$207,B11)&lt;&gt;1,"编号缺失或重复",INDEX('公司'!$B$8:$B$207,MATCH(B11,'公司'!$A$8:$A$207,0))))</f>
        <v/>
      </c>
      <c r="D11" s="10" t="n"/>
      <c r="E11" s="10" t="n"/>
      <c r="F11" s="10" t="n"/>
      <c r="G11" s="32" t="n"/>
      <c r="H11" s="10" t="n"/>
      <c r="I11" s="10" t="n"/>
      <c r="J11" s="10" t="n"/>
      <c r="K11" s="10" t="n"/>
      <c r="L11" s="10" t="n"/>
      <c r="M11" s="10" t="n"/>
      <c r="N11" s="16">
        <f>IF(A11="","",IF(OR(COUNTIF($A$8:$A$207,A11)&lt;&gt;1,COUNTIF('公司'!$A$8:$A$207,B11)&lt;&gt;1),"检查编号或关联","正常"))</f>
        <v/>
      </c>
    </row>
    <row r="12" ht="34" customHeight="1">
      <c r="A12" s="32" t="n"/>
      <c r="B12" s="32" t="n"/>
      <c r="C12" s="16">
        <f>IF(B12="","",IF(COUNTIF('公司'!$A$8:$A$207,B12)&lt;&gt;1,"编号缺失或重复",INDEX('公司'!$B$8:$B$207,MATCH(B12,'公司'!$A$8:$A$207,0))))</f>
        <v/>
      </c>
      <c r="D12" s="10" t="n"/>
      <c r="E12" s="10" t="n"/>
      <c r="F12" s="10" t="n"/>
      <c r="G12" s="32" t="n"/>
      <c r="H12" s="10" t="n"/>
      <c r="I12" s="10" t="n"/>
      <c r="J12" s="10" t="n"/>
      <c r="K12" s="10" t="n"/>
      <c r="L12" s="10" t="n"/>
      <c r="M12" s="10" t="n"/>
      <c r="N12" s="16">
        <f>IF(A12="","",IF(OR(COUNTIF($A$8:$A$207,A12)&lt;&gt;1,COUNTIF('公司'!$A$8:$A$207,B12)&lt;&gt;1),"检查编号或关联","正常"))</f>
        <v/>
      </c>
    </row>
    <row r="13" ht="34" customHeight="1">
      <c r="A13" s="32" t="n"/>
      <c r="B13" s="32" t="n"/>
      <c r="C13" s="16">
        <f>IF(B13="","",IF(COUNTIF('公司'!$A$8:$A$207,B13)&lt;&gt;1,"编号缺失或重复",INDEX('公司'!$B$8:$B$207,MATCH(B13,'公司'!$A$8:$A$207,0))))</f>
        <v/>
      </c>
      <c r="D13" s="10" t="n"/>
      <c r="E13" s="10" t="n"/>
      <c r="F13" s="10" t="n"/>
      <c r="G13" s="32" t="n"/>
      <c r="H13" s="10" t="n"/>
      <c r="I13" s="10" t="n"/>
      <c r="J13" s="10" t="n"/>
      <c r="K13" s="10" t="n"/>
      <c r="L13" s="10" t="n"/>
      <c r="M13" s="10" t="n"/>
      <c r="N13" s="16">
        <f>IF(A13="","",IF(OR(COUNTIF($A$8:$A$207,A13)&lt;&gt;1,COUNTIF('公司'!$A$8:$A$207,B13)&lt;&gt;1),"检查编号或关联","正常"))</f>
        <v/>
      </c>
    </row>
    <row r="14" ht="34" customHeight="1">
      <c r="A14" s="32" t="n"/>
      <c r="B14" s="32" t="n"/>
      <c r="C14" s="16">
        <f>IF(B14="","",IF(COUNTIF('公司'!$A$8:$A$207,B14)&lt;&gt;1,"编号缺失或重复",INDEX('公司'!$B$8:$B$207,MATCH(B14,'公司'!$A$8:$A$207,0))))</f>
        <v/>
      </c>
      <c r="D14" s="10" t="n"/>
      <c r="E14" s="10" t="n"/>
      <c r="F14" s="10" t="n"/>
      <c r="G14" s="32" t="n"/>
      <c r="H14" s="10" t="n"/>
      <c r="I14" s="10" t="n"/>
      <c r="J14" s="10" t="n"/>
      <c r="K14" s="10" t="n"/>
      <c r="L14" s="10" t="n"/>
      <c r="M14" s="10" t="n"/>
      <c r="N14" s="16">
        <f>IF(A14="","",IF(OR(COUNTIF($A$8:$A$207,A14)&lt;&gt;1,COUNTIF('公司'!$A$8:$A$207,B14)&lt;&gt;1),"检查编号或关联","正常"))</f>
        <v/>
      </c>
    </row>
    <row r="15" ht="34" customHeight="1">
      <c r="A15" s="32" t="n"/>
      <c r="B15" s="32" t="n"/>
      <c r="C15" s="16">
        <f>IF(B15="","",IF(COUNTIF('公司'!$A$8:$A$207,B15)&lt;&gt;1,"编号缺失或重复",INDEX('公司'!$B$8:$B$207,MATCH(B15,'公司'!$A$8:$A$207,0))))</f>
        <v/>
      </c>
      <c r="D15" s="10" t="n"/>
      <c r="E15" s="10" t="n"/>
      <c r="F15" s="10" t="n"/>
      <c r="G15" s="32" t="n"/>
      <c r="H15" s="10" t="n"/>
      <c r="I15" s="10" t="n"/>
      <c r="J15" s="10" t="n"/>
      <c r="K15" s="10" t="n"/>
      <c r="L15" s="10" t="n"/>
      <c r="M15" s="10" t="n"/>
      <c r="N15" s="16">
        <f>IF(A15="","",IF(OR(COUNTIF($A$8:$A$207,A15)&lt;&gt;1,COUNTIF('公司'!$A$8:$A$207,B15)&lt;&gt;1),"检查编号或关联","正常"))</f>
        <v/>
      </c>
    </row>
    <row r="16" ht="34" customHeight="1">
      <c r="A16" s="32" t="n"/>
      <c r="B16" s="32" t="n"/>
      <c r="C16" s="16">
        <f>IF(B16="","",IF(COUNTIF('公司'!$A$8:$A$207,B16)&lt;&gt;1,"编号缺失或重复",INDEX('公司'!$B$8:$B$207,MATCH(B16,'公司'!$A$8:$A$207,0))))</f>
        <v/>
      </c>
      <c r="D16" s="10" t="n"/>
      <c r="E16" s="10" t="n"/>
      <c r="F16" s="10" t="n"/>
      <c r="G16" s="32" t="n"/>
      <c r="H16" s="10" t="n"/>
      <c r="I16" s="10" t="n"/>
      <c r="J16" s="10" t="n"/>
      <c r="K16" s="10" t="n"/>
      <c r="L16" s="10" t="n"/>
      <c r="M16" s="10" t="n"/>
      <c r="N16" s="16">
        <f>IF(A16="","",IF(OR(COUNTIF($A$8:$A$207,A16)&lt;&gt;1,COUNTIF('公司'!$A$8:$A$207,B16)&lt;&gt;1),"检查编号或关联","正常"))</f>
        <v/>
      </c>
    </row>
    <row r="17" ht="34" customHeight="1">
      <c r="A17" s="32" t="n"/>
      <c r="B17" s="32" t="n"/>
      <c r="C17" s="16">
        <f>IF(B17="","",IF(COUNTIF('公司'!$A$8:$A$207,B17)&lt;&gt;1,"编号缺失或重复",INDEX('公司'!$B$8:$B$207,MATCH(B17,'公司'!$A$8:$A$207,0))))</f>
        <v/>
      </c>
      <c r="D17" s="10" t="n"/>
      <c r="E17" s="10" t="n"/>
      <c r="F17" s="10" t="n"/>
      <c r="G17" s="32" t="n"/>
      <c r="H17" s="10" t="n"/>
      <c r="I17" s="10" t="n"/>
      <c r="J17" s="10" t="n"/>
      <c r="K17" s="10" t="n"/>
      <c r="L17" s="10" t="n"/>
      <c r="M17" s="10" t="n"/>
      <c r="N17" s="16">
        <f>IF(A17="","",IF(OR(COUNTIF($A$8:$A$207,A17)&lt;&gt;1,COUNTIF('公司'!$A$8:$A$207,B17)&lt;&gt;1),"检查编号或关联","正常"))</f>
        <v/>
      </c>
    </row>
    <row r="18" ht="34" customHeight="1">
      <c r="A18" s="32" t="n"/>
      <c r="B18" s="32" t="n"/>
      <c r="C18" s="16">
        <f>IF(B18="","",IF(COUNTIF('公司'!$A$8:$A$207,B18)&lt;&gt;1,"编号缺失或重复",INDEX('公司'!$B$8:$B$207,MATCH(B18,'公司'!$A$8:$A$207,0))))</f>
        <v/>
      </c>
      <c r="D18" s="10" t="n"/>
      <c r="E18" s="10" t="n"/>
      <c r="F18" s="10" t="n"/>
      <c r="G18" s="32" t="n"/>
      <c r="H18" s="10" t="n"/>
      <c r="I18" s="10" t="n"/>
      <c r="J18" s="10" t="n"/>
      <c r="K18" s="10" t="n"/>
      <c r="L18" s="10" t="n"/>
      <c r="M18" s="10" t="n"/>
      <c r="N18" s="16">
        <f>IF(A18="","",IF(OR(COUNTIF($A$8:$A$207,A18)&lt;&gt;1,COUNTIF('公司'!$A$8:$A$207,B18)&lt;&gt;1),"检查编号或关联","正常"))</f>
        <v/>
      </c>
    </row>
    <row r="19" ht="34" customHeight="1">
      <c r="A19" s="32" t="n"/>
      <c r="B19" s="32" t="n"/>
      <c r="C19" s="16">
        <f>IF(B19="","",IF(COUNTIF('公司'!$A$8:$A$207,B19)&lt;&gt;1,"编号缺失或重复",INDEX('公司'!$B$8:$B$207,MATCH(B19,'公司'!$A$8:$A$207,0))))</f>
        <v/>
      </c>
      <c r="D19" s="10" t="n"/>
      <c r="E19" s="10" t="n"/>
      <c r="F19" s="10" t="n"/>
      <c r="G19" s="32" t="n"/>
      <c r="H19" s="10" t="n"/>
      <c r="I19" s="10" t="n"/>
      <c r="J19" s="10" t="n"/>
      <c r="K19" s="10" t="n"/>
      <c r="L19" s="10" t="n"/>
      <c r="M19" s="10" t="n"/>
      <c r="N19" s="16">
        <f>IF(A19="","",IF(OR(COUNTIF($A$8:$A$207,A19)&lt;&gt;1,COUNTIF('公司'!$A$8:$A$207,B19)&lt;&gt;1),"检查编号或关联","正常"))</f>
        <v/>
      </c>
    </row>
    <row r="20" ht="34" customHeight="1">
      <c r="A20" s="32" t="n"/>
      <c r="B20" s="32" t="n"/>
      <c r="C20" s="16">
        <f>IF(B20="","",IF(COUNTIF('公司'!$A$8:$A$207,B20)&lt;&gt;1,"编号缺失或重复",INDEX('公司'!$B$8:$B$207,MATCH(B20,'公司'!$A$8:$A$207,0))))</f>
        <v/>
      </c>
      <c r="D20" s="10" t="n"/>
      <c r="E20" s="10" t="n"/>
      <c r="F20" s="10" t="n"/>
      <c r="G20" s="32" t="n"/>
      <c r="H20" s="10" t="n"/>
      <c r="I20" s="10" t="n"/>
      <c r="J20" s="10" t="n"/>
      <c r="K20" s="10" t="n"/>
      <c r="L20" s="10" t="n"/>
      <c r="M20" s="10" t="n"/>
      <c r="N20" s="16">
        <f>IF(A20="","",IF(OR(COUNTIF($A$8:$A$207,A20)&lt;&gt;1,COUNTIF('公司'!$A$8:$A$207,B20)&lt;&gt;1),"检查编号或关联","正常"))</f>
        <v/>
      </c>
    </row>
    <row r="21" ht="34" customHeight="1">
      <c r="A21" s="32" t="n"/>
      <c r="B21" s="32" t="n"/>
      <c r="C21" s="16">
        <f>IF(B21="","",IF(COUNTIF('公司'!$A$8:$A$207,B21)&lt;&gt;1,"编号缺失或重复",INDEX('公司'!$B$8:$B$207,MATCH(B21,'公司'!$A$8:$A$207,0))))</f>
        <v/>
      </c>
      <c r="D21" s="10" t="n"/>
      <c r="E21" s="10" t="n"/>
      <c r="F21" s="10" t="n"/>
      <c r="G21" s="32" t="n"/>
      <c r="H21" s="10" t="n"/>
      <c r="I21" s="10" t="n"/>
      <c r="J21" s="10" t="n"/>
      <c r="K21" s="10" t="n"/>
      <c r="L21" s="10" t="n"/>
      <c r="M21" s="10" t="n"/>
      <c r="N21" s="16">
        <f>IF(A21="","",IF(OR(COUNTIF($A$8:$A$207,A21)&lt;&gt;1,COUNTIF('公司'!$A$8:$A$207,B21)&lt;&gt;1),"检查编号或关联","正常"))</f>
        <v/>
      </c>
    </row>
    <row r="22" ht="34" customHeight="1">
      <c r="A22" s="32" t="n"/>
      <c r="B22" s="32" t="n"/>
      <c r="C22" s="16">
        <f>IF(B22="","",IF(COUNTIF('公司'!$A$8:$A$207,B22)&lt;&gt;1,"编号缺失或重复",INDEX('公司'!$B$8:$B$207,MATCH(B22,'公司'!$A$8:$A$207,0))))</f>
        <v/>
      </c>
      <c r="D22" s="10" t="n"/>
      <c r="E22" s="10" t="n"/>
      <c r="F22" s="10" t="n"/>
      <c r="G22" s="32" t="n"/>
      <c r="H22" s="10" t="n"/>
      <c r="I22" s="10" t="n"/>
      <c r="J22" s="10" t="n"/>
      <c r="K22" s="10" t="n"/>
      <c r="L22" s="10" t="n"/>
      <c r="M22" s="10" t="n"/>
      <c r="N22" s="16">
        <f>IF(A22="","",IF(OR(COUNTIF($A$8:$A$207,A22)&lt;&gt;1,COUNTIF('公司'!$A$8:$A$207,B22)&lt;&gt;1),"检查编号或关联","正常"))</f>
        <v/>
      </c>
    </row>
    <row r="23" ht="34" customHeight="1">
      <c r="A23" s="32" t="n"/>
      <c r="B23" s="32" t="n"/>
      <c r="C23" s="16">
        <f>IF(B23="","",IF(COUNTIF('公司'!$A$8:$A$207,B23)&lt;&gt;1,"编号缺失或重复",INDEX('公司'!$B$8:$B$207,MATCH(B23,'公司'!$A$8:$A$207,0))))</f>
        <v/>
      </c>
      <c r="D23" s="10" t="n"/>
      <c r="E23" s="10" t="n"/>
      <c r="F23" s="10" t="n"/>
      <c r="G23" s="32" t="n"/>
      <c r="H23" s="10" t="n"/>
      <c r="I23" s="10" t="n"/>
      <c r="J23" s="10" t="n"/>
      <c r="K23" s="10" t="n"/>
      <c r="L23" s="10" t="n"/>
      <c r="M23" s="10" t="n"/>
      <c r="N23" s="16">
        <f>IF(A23="","",IF(OR(COUNTIF($A$8:$A$207,A23)&lt;&gt;1,COUNTIF('公司'!$A$8:$A$207,B23)&lt;&gt;1),"检查编号或关联","正常"))</f>
        <v/>
      </c>
    </row>
    <row r="24" ht="34" customHeight="1">
      <c r="A24" s="32" t="n"/>
      <c r="B24" s="32" t="n"/>
      <c r="C24" s="16">
        <f>IF(B24="","",IF(COUNTIF('公司'!$A$8:$A$207,B24)&lt;&gt;1,"编号缺失或重复",INDEX('公司'!$B$8:$B$207,MATCH(B24,'公司'!$A$8:$A$207,0))))</f>
        <v/>
      </c>
      <c r="D24" s="10" t="n"/>
      <c r="E24" s="10" t="n"/>
      <c r="F24" s="10" t="n"/>
      <c r="G24" s="32" t="n"/>
      <c r="H24" s="10" t="n"/>
      <c r="I24" s="10" t="n"/>
      <c r="J24" s="10" t="n"/>
      <c r="K24" s="10" t="n"/>
      <c r="L24" s="10" t="n"/>
      <c r="M24" s="10" t="n"/>
      <c r="N24" s="16">
        <f>IF(A24="","",IF(OR(COUNTIF($A$8:$A$207,A24)&lt;&gt;1,COUNTIF('公司'!$A$8:$A$207,B24)&lt;&gt;1),"检查编号或关联","正常"))</f>
        <v/>
      </c>
    </row>
    <row r="25" ht="34" customHeight="1">
      <c r="A25" s="32" t="n"/>
      <c r="B25" s="32" t="n"/>
      <c r="C25" s="16">
        <f>IF(B25="","",IF(COUNTIF('公司'!$A$8:$A$207,B25)&lt;&gt;1,"编号缺失或重复",INDEX('公司'!$B$8:$B$207,MATCH(B25,'公司'!$A$8:$A$207,0))))</f>
        <v/>
      </c>
      <c r="D25" s="10" t="n"/>
      <c r="E25" s="10" t="n"/>
      <c r="F25" s="10" t="n"/>
      <c r="G25" s="32" t="n"/>
      <c r="H25" s="10" t="n"/>
      <c r="I25" s="10" t="n"/>
      <c r="J25" s="10" t="n"/>
      <c r="K25" s="10" t="n"/>
      <c r="L25" s="10" t="n"/>
      <c r="M25" s="10" t="n"/>
      <c r="N25" s="16">
        <f>IF(A25="","",IF(OR(COUNTIF($A$8:$A$207,A25)&lt;&gt;1,COUNTIF('公司'!$A$8:$A$207,B25)&lt;&gt;1),"检查编号或关联","正常"))</f>
        <v/>
      </c>
    </row>
    <row r="26" ht="34" customHeight="1">
      <c r="A26" s="32" t="n"/>
      <c r="B26" s="32" t="n"/>
      <c r="C26" s="16">
        <f>IF(B26="","",IF(COUNTIF('公司'!$A$8:$A$207,B26)&lt;&gt;1,"编号缺失或重复",INDEX('公司'!$B$8:$B$207,MATCH(B26,'公司'!$A$8:$A$207,0))))</f>
        <v/>
      </c>
      <c r="D26" s="10" t="n"/>
      <c r="E26" s="10" t="n"/>
      <c r="F26" s="10" t="n"/>
      <c r="G26" s="32" t="n"/>
      <c r="H26" s="10" t="n"/>
      <c r="I26" s="10" t="n"/>
      <c r="J26" s="10" t="n"/>
      <c r="K26" s="10" t="n"/>
      <c r="L26" s="10" t="n"/>
      <c r="M26" s="10" t="n"/>
      <c r="N26" s="16">
        <f>IF(A26="","",IF(OR(COUNTIF($A$8:$A$207,A26)&lt;&gt;1,COUNTIF('公司'!$A$8:$A$207,B26)&lt;&gt;1),"检查编号或关联","正常"))</f>
        <v/>
      </c>
    </row>
    <row r="27" ht="34" customHeight="1">
      <c r="A27" s="32" t="n"/>
      <c r="B27" s="32" t="n"/>
      <c r="C27" s="16">
        <f>IF(B27="","",IF(COUNTIF('公司'!$A$8:$A$207,B27)&lt;&gt;1,"编号缺失或重复",INDEX('公司'!$B$8:$B$207,MATCH(B27,'公司'!$A$8:$A$207,0))))</f>
        <v/>
      </c>
      <c r="D27" s="10" t="n"/>
      <c r="E27" s="10" t="n"/>
      <c r="F27" s="10" t="n"/>
      <c r="G27" s="32" t="n"/>
      <c r="H27" s="10" t="n"/>
      <c r="I27" s="10" t="n"/>
      <c r="J27" s="10" t="n"/>
      <c r="K27" s="10" t="n"/>
      <c r="L27" s="10" t="n"/>
      <c r="M27" s="10" t="n"/>
      <c r="N27" s="16">
        <f>IF(A27="","",IF(OR(COUNTIF($A$8:$A$207,A27)&lt;&gt;1,COUNTIF('公司'!$A$8:$A$207,B27)&lt;&gt;1),"检查编号或关联","正常"))</f>
        <v/>
      </c>
    </row>
    <row r="28" ht="34" customHeight="1">
      <c r="A28" s="32" t="n"/>
      <c r="B28" s="32" t="n"/>
      <c r="C28" s="16">
        <f>IF(B28="","",IF(COUNTIF('公司'!$A$8:$A$207,B28)&lt;&gt;1,"编号缺失或重复",INDEX('公司'!$B$8:$B$207,MATCH(B28,'公司'!$A$8:$A$207,0))))</f>
        <v/>
      </c>
      <c r="D28" s="10" t="n"/>
      <c r="E28" s="10" t="n"/>
      <c r="F28" s="10" t="n"/>
      <c r="G28" s="32" t="n"/>
      <c r="H28" s="10" t="n"/>
      <c r="I28" s="10" t="n"/>
      <c r="J28" s="10" t="n"/>
      <c r="K28" s="10" t="n"/>
      <c r="L28" s="10" t="n"/>
      <c r="M28" s="10" t="n"/>
      <c r="N28" s="16">
        <f>IF(A28="","",IF(OR(COUNTIF($A$8:$A$207,A28)&lt;&gt;1,COUNTIF('公司'!$A$8:$A$207,B28)&lt;&gt;1),"检查编号或关联","正常"))</f>
        <v/>
      </c>
    </row>
    <row r="29" ht="34" customHeight="1">
      <c r="A29" s="32" t="n"/>
      <c r="B29" s="32" t="n"/>
      <c r="C29" s="16">
        <f>IF(B29="","",IF(COUNTIF('公司'!$A$8:$A$207,B29)&lt;&gt;1,"编号缺失或重复",INDEX('公司'!$B$8:$B$207,MATCH(B29,'公司'!$A$8:$A$207,0))))</f>
        <v/>
      </c>
      <c r="D29" s="10" t="n"/>
      <c r="E29" s="10" t="n"/>
      <c r="F29" s="10" t="n"/>
      <c r="G29" s="32" t="n"/>
      <c r="H29" s="10" t="n"/>
      <c r="I29" s="10" t="n"/>
      <c r="J29" s="10" t="n"/>
      <c r="K29" s="10" t="n"/>
      <c r="L29" s="10" t="n"/>
      <c r="M29" s="10" t="n"/>
      <c r="N29" s="16">
        <f>IF(A29="","",IF(OR(COUNTIF($A$8:$A$207,A29)&lt;&gt;1,COUNTIF('公司'!$A$8:$A$207,B29)&lt;&gt;1),"检查编号或关联","正常"))</f>
        <v/>
      </c>
    </row>
    <row r="30" ht="34" customHeight="1">
      <c r="A30" s="32" t="n"/>
      <c r="B30" s="32" t="n"/>
      <c r="C30" s="16">
        <f>IF(B30="","",IF(COUNTIF('公司'!$A$8:$A$207,B30)&lt;&gt;1,"编号缺失或重复",INDEX('公司'!$B$8:$B$207,MATCH(B30,'公司'!$A$8:$A$207,0))))</f>
        <v/>
      </c>
      <c r="D30" s="10" t="n"/>
      <c r="E30" s="10" t="n"/>
      <c r="F30" s="10" t="n"/>
      <c r="G30" s="32" t="n"/>
      <c r="H30" s="10" t="n"/>
      <c r="I30" s="10" t="n"/>
      <c r="J30" s="10" t="n"/>
      <c r="K30" s="10" t="n"/>
      <c r="L30" s="10" t="n"/>
      <c r="M30" s="10" t="n"/>
      <c r="N30" s="16">
        <f>IF(A30="","",IF(OR(COUNTIF($A$8:$A$207,A30)&lt;&gt;1,COUNTIF('公司'!$A$8:$A$207,B30)&lt;&gt;1),"检查编号或关联","正常"))</f>
        <v/>
      </c>
    </row>
    <row r="31" ht="34" customHeight="1">
      <c r="A31" s="32" t="n"/>
      <c r="B31" s="32" t="n"/>
      <c r="C31" s="16">
        <f>IF(B31="","",IF(COUNTIF('公司'!$A$8:$A$207,B31)&lt;&gt;1,"编号缺失或重复",INDEX('公司'!$B$8:$B$207,MATCH(B31,'公司'!$A$8:$A$207,0))))</f>
        <v/>
      </c>
      <c r="D31" s="10" t="n"/>
      <c r="E31" s="10" t="n"/>
      <c r="F31" s="10" t="n"/>
      <c r="G31" s="32" t="n"/>
      <c r="H31" s="10" t="n"/>
      <c r="I31" s="10" t="n"/>
      <c r="J31" s="10" t="n"/>
      <c r="K31" s="10" t="n"/>
      <c r="L31" s="10" t="n"/>
      <c r="M31" s="10" t="n"/>
      <c r="N31" s="16">
        <f>IF(A31="","",IF(OR(COUNTIF($A$8:$A$207,A31)&lt;&gt;1,COUNTIF('公司'!$A$8:$A$207,B31)&lt;&gt;1),"检查编号或关联","正常"))</f>
        <v/>
      </c>
    </row>
    <row r="32" ht="34" customHeight="1">
      <c r="A32" s="32" t="n"/>
      <c r="B32" s="32" t="n"/>
      <c r="C32" s="16">
        <f>IF(B32="","",IF(COUNTIF('公司'!$A$8:$A$207,B32)&lt;&gt;1,"编号缺失或重复",INDEX('公司'!$B$8:$B$207,MATCH(B32,'公司'!$A$8:$A$207,0))))</f>
        <v/>
      </c>
      <c r="D32" s="10" t="n"/>
      <c r="E32" s="10" t="n"/>
      <c r="F32" s="10" t="n"/>
      <c r="G32" s="32" t="n"/>
      <c r="H32" s="10" t="n"/>
      <c r="I32" s="10" t="n"/>
      <c r="J32" s="10" t="n"/>
      <c r="K32" s="10" t="n"/>
      <c r="L32" s="10" t="n"/>
      <c r="M32" s="10" t="n"/>
      <c r="N32" s="16">
        <f>IF(A32="","",IF(OR(COUNTIF($A$8:$A$207,A32)&lt;&gt;1,COUNTIF('公司'!$A$8:$A$207,B32)&lt;&gt;1),"检查编号或关联","正常"))</f>
        <v/>
      </c>
    </row>
    <row r="33" ht="34" customHeight="1">
      <c r="A33" s="32" t="n"/>
      <c r="B33" s="32" t="n"/>
      <c r="C33" s="16">
        <f>IF(B33="","",IF(COUNTIF('公司'!$A$8:$A$207,B33)&lt;&gt;1,"编号缺失或重复",INDEX('公司'!$B$8:$B$207,MATCH(B33,'公司'!$A$8:$A$207,0))))</f>
        <v/>
      </c>
      <c r="D33" s="10" t="n"/>
      <c r="E33" s="10" t="n"/>
      <c r="F33" s="10" t="n"/>
      <c r="G33" s="32" t="n"/>
      <c r="H33" s="10" t="n"/>
      <c r="I33" s="10" t="n"/>
      <c r="J33" s="10" t="n"/>
      <c r="K33" s="10" t="n"/>
      <c r="L33" s="10" t="n"/>
      <c r="M33" s="10" t="n"/>
      <c r="N33" s="16">
        <f>IF(A33="","",IF(OR(COUNTIF($A$8:$A$207,A33)&lt;&gt;1,COUNTIF('公司'!$A$8:$A$207,B33)&lt;&gt;1),"检查编号或关联","正常"))</f>
        <v/>
      </c>
    </row>
    <row r="34" ht="34" customHeight="1">
      <c r="A34" s="32" t="n"/>
      <c r="B34" s="32" t="n"/>
      <c r="C34" s="16">
        <f>IF(B34="","",IF(COUNTIF('公司'!$A$8:$A$207,B34)&lt;&gt;1,"编号缺失或重复",INDEX('公司'!$B$8:$B$207,MATCH(B34,'公司'!$A$8:$A$207,0))))</f>
        <v/>
      </c>
      <c r="D34" s="10" t="n"/>
      <c r="E34" s="10" t="n"/>
      <c r="F34" s="10" t="n"/>
      <c r="G34" s="32" t="n"/>
      <c r="H34" s="10" t="n"/>
      <c r="I34" s="10" t="n"/>
      <c r="J34" s="10" t="n"/>
      <c r="K34" s="10" t="n"/>
      <c r="L34" s="10" t="n"/>
      <c r="M34" s="10" t="n"/>
      <c r="N34" s="16">
        <f>IF(A34="","",IF(OR(COUNTIF($A$8:$A$207,A34)&lt;&gt;1,COUNTIF('公司'!$A$8:$A$207,B34)&lt;&gt;1),"检查编号或关联","正常"))</f>
        <v/>
      </c>
    </row>
    <row r="35" ht="34" customHeight="1">
      <c r="A35" s="32" t="n"/>
      <c r="B35" s="32" t="n"/>
      <c r="C35" s="16">
        <f>IF(B35="","",IF(COUNTIF('公司'!$A$8:$A$207,B35)&lt;&gt;1,"编号缺失或重复",INDEX('公司'!$B$8:$B$207,MATCH(B35,'公司'!$A$8:$A$207,0))))</f>
        <v/>
      </c>
      <c r="D35" s="10" t="n"/>
      <c r="E35" s="10" t="n"/>
      <c r="F35" s="10" t="n"/>
      <c r="G35" s="32" t="n"/>
      <c r="H35" s="10" t="n"/>
      <c r="I35" s="10" t="n"/>
      <c r="J35" s="10" t="n"/>
      <c r="K35" s="10" t="n"/>
      <c r="L35" s="10" t="n"/>
      <c r="M35" s="10" t="n"/>
      <c r="N35" s="16">
        <f>IF(A35="","",IF(OR(COUNTIF($A$8:$A$207,A35)&lt;&gt;1,COUNTIF('公司'!$A$8:$A$207,B35)&lt;&gt;1),"检查编号或关联","正常"))</f>
        <v/>
      </c>
    </row>
    <row r="36" ht="34" customHeight="1">
      <c r="A36" s="32" t="n"/>
      <c r="B36" s="32" t="n"/>
      <c r="C36" s="16">
        <f>IF(B36="","",IF(COUNTIF('公司'!$A$8:$A$207,B36)&lt;&gt;1,"编号缺失或重复",INDEX('公司'!$B$8:$B$207,MATCH(B36,'公司'!$A$8:$A$207,0))))</f>
        <v/>
      </c>
      <c r="D36" s="10" t="n"/>
      <c r="E36" s="10" t="n"/>
      <c r="F36" s="10" t="n"/>
      <c r="G36" s="32" t="n"/>
      <c r="H36" s="10" t="n"/>
      <c r="I36" s="10" t="n"/>
      <c r="J36" s="10" t="n"/>
      <c r="K36" s="10" t="n"/>
      <c r="L36" s="10" t="n"/>
      <c r="M36" s="10" t="n"/>
      <c r="N36" s="16">
        <f>IF(A36="","",IF(OR(COUNTIF($A$8:$A$207,A36)&lt;&gt;1,COUNTIF('公司'!$A$8:$A$207,B36)&lt;&gt;1),"检查编号或关联","正常"))</f>
        <v/>
      </c>
    </row>
    <row r="37" ht="34" customHeight="1">
      <c r="A37" s="32" t="n"/>
      <c r="B37" s="32" t="n"/>
      <c r="C37" s="16">
        <f>IF(B37="","",IF(COUNTIF('公司'!$A$8:$A$207,B37)&lt;&gt;1,"编号缺失或重复",INDEX('公司'!$B$8:$B$207,MATCH(B37,'公司'!$A$8:$A$207,0))))</f>
        <v/>
      </c>
      <c r="D37" s="10" t="n"/>
      <c r="E37" s="10" t="n"/>
      <c r="F37" s="10" t="n"/>
      <c r="G37" s="32" t="n"/>
      <c r="H37" s="10" t="n"/>
      <c r="I37" s="10" t="n"/>
      <c r="J37" s="10" t="n"/>
      <c r="K37" s="10" t="n"/>
      <c r="L37" s="10" t="n"/>
      <c r="M37" s="10" t="n"/>
      <c r="N37" s="16">
        <f>IF(A37="","",IF(OR(COUNTIF($A$8:$A$207,A37)&lt;&gt;1,COUNTIF('公司'!$A$8:$A$207,B37)&lt;&gt;1),"检查编号或关联","正常"))</f>
        <v/>
      </c>
    </row>
    <row r="38" ht="34" customHeight="1">
      <c r="A38" s="32" t="n"/>
      <c r="B38" s="32" t="n"/>
      <c r="C38" s="16">
        <f>IF(B38="","",IF(COUNTIF('公司'!$A$8:$A$207,B38)&lt;&gt;1,"编号缺失或重复",INDEX('公司'!$B$8:$B$207,MATCH(B38,'公司'!$A$8:$A$207,0))))</f>
        <v/>
      </c>
      <c r="D38" s="10" t="n"/>
      <c r="E38" s="10" t="n"/>
      <c r="F38" s="10" t="n"/>
      <c r="G38" s="32" t="n"/>
      <c r="H38" s="10" t="n"/>
      <c r="I38" s="10" t="n"/>
      <c r="J38" s="10" t="n"/>
      <c r="K38" s="10" t="n"/>
      <c r="L38" s="10" t="n"/>
      <c r="M38" s="10" t="n"/>
      <c r="N38" s="16">
        <f>IF(A38="","",IF(OR(COUNTIF($A$8:$A$207,A38)&lt;&gt;1,COUNTIF('公司'!$A$8:$A$207,B38)&lt;&gt;1),"检查编号或关联","正常"))</f>
        <v/>
      </c>
    </row>
    <row r="39" ht="34" customHeight="1">
      <c r="A39" s="32" t="n"/>
      <c r="B39" s="32" t="n"/>
      <c r="C39" s="16">
        <f>IF(B39="","",IF(COUNTIF('公司'!$A$8:$A$207,B39)&lt;&gt;1,"编号缺失或重复",INDEX('公司'!$B$8:$B$207,MATCH(B39,'公司'!$A$8:$A$207,0))))</f>
        <v/>
      </c>
      <c r="D39" s="10" t="n"/>
      <c r="E39" s="10" t="n"/>
      <c r="F39" s="10" t="n"/>
      <c r="G39" s="32" t="n"/>
      <c r="H39" s="10" t="n"/>
      <c r="I39" s="10" t="n"/>
      <c r="J39" s="10" t="n"/>
      <c r="K39" s="10" t="n"/>
      <c r="L39" s="10" t="n"/>
      <c r="M39" s="10" t="n"/>
      <c r="N39" s="16">
        <f>IF(A39="","",IF(OR(COUNTIF($A$8:$A$207,A39)&lt;&gt;1,COUNTIF('公司'!$A$8:$A$207,B39)&lt;&gt;1),"检查编号或关联","正常"))</f>
        <v/>
      </c>
    </row>
    <row r="40" ht="34" customHeight="1">
      <c r="A40" s="32" t="n"/>
      <c r="B40" s="32" t="n"/>
      <c r="C40" s="16">
        <f>IF(B40="","",IF(COUNTIF('公司'!$A$8:$A$207,B40)&lt;&gt;1,"编号缺失或重复",INDEX('公司'!$B$8:$B$207,MATCH(B40,'公司'!$A$8:$A$207,0))))</f>
        <v/>
      </c>
      <c r="D40" s="10" t="n"/>
      <c r="E40" s="10" t="n"/>
      <c r="F40" s="10" t="n"/>
      <c r="G40" s="32" t="n"/>
      <c r="H40" s="10" t="n"/>
      <c r="I40" s="10" t="n"/>
      <c r="J40" s="10" t="n"/>
      <c r="K40" s="10" t="n"/>
      <c r="L40" s="10" t="n"/>
      <c r="M40" s="10" t="n"/>
      <c r="N40" s="16">
        <f>IF(A40="","",IF(OR(COUNTIF($A$8:$A$207,A40)&lt;&gt;1,COUNTIF('公司'!$A$8:$A$207,B40)&lt;&gt;1),"检查编号或关联","正常"))</f>
        <v/>
      </c>
    </row>
    <row r="41" ht="34" customHeight="1">
      <c r="A41" s="32" t="n"/>
      <c r="B41" s="32" t="n"/>
      <c r="C41" s="16">
        <f>IF(B41="","",IF(COUNTIF('公司'!$A$8:$A$207,B41)&lt;&gt;1,"编号缺失或重复",INDEX('公司'!$B$8:$B$207,MATCH(B41,'公司'!$A$8:$A$207,0))))</f>
        <v/>
      </c>
      <c r="D41" s="10" t="n"/>
      <c r="E41" s="10" t="n"/>
      <c r="F41" s="10" t="n"/>
      <c r="G41" s="32" t="n"/>
      <c r="H41" s="10" t="n"/>
      <c r="I41" s="10" t="n"/>
      <c r="J41" s="10" t="n"/>
      <c r="K41" s="10" t="n"/>
      <c r="L41" s="10" t="n"/>
      <c r="M41" s="10" t="n"/>
      <c r="N41" s="16">
        <f>IF(A41="","",IF(OR(COUNTIF($A$8:$A$207,A41)&lt;&gt;1,COUNTIF('公司'!$A$8:$A$207,B41)&lt;&gt;1),"检查编号或关联","正常"))</f>
        <v/>
      </c>
    </row>
    <row r="42" ht="34" customHeight="1">
      <c r="A42" s="32" t="n"/>
      <c r="B42" s="32" t="n"/>
      <c r="C42" s="16">
        <f>IF(B42="","",IF(COUNTIF('公司'!$A$8:$A$207,B42)&lt;&gt;1,"编号缺失或重复",INDEX('公司'!$B$8:$B$207,MATCH(B42,'公司'!$A$8:$A$207,0))))</f>
        <v/>
      </c>
      <c r="D42" s="10" t="n"/>
      <c r="E42" s="10" t="n"/>
      <c r="F42" s="10" t="n"/>
      <c r="G42" s="32" t="n"/>
      <c r="H42" s="10" t="n"/>
      <c r="I42" s="10" t="n"/>
      <c r="J42" s="10" t="n"/>
      <c r="K42" s="10" t="n"/>
      <c r="L42" s="10" t="n"/>
      <c r="M42" s="10" t="n"/>
      <c r="N42" s="16">
        <f>IF(A42="","",IF(OR(COUNTIF($A$8:$A$207,A42)&lt;&gt;1,COUNTIF('公司'!$A$8:$A$207,B42)&lt;&gt;1),"检查编号或关联","正常"))</f>
        <v/>
      </c>
    </row>
    <row r="43" ht="34" customHeight="1">
      <c r="A43" s="32" t="n"/>
      <c r="B43" s="32" t="n"/>
      <c r="C43" s="16">
        <f>IF(B43="","",IF(COUNTIF('公司'!$A$8:$A$207,B43)&lt;&gt;1,"编号缺失或重复",INDEX('公司'!$B$8:$B$207,MATCH(B43,'公司'!$A$8:$A$207,0))))</f>
        <v/>
      </c>
      <c r="D43" s="10" t="n"/>
      <c r="E43" s="10" t="n"/>
      <c r="F43" s="10" t="n"/>
      <c r="G43" s="32" t="n"/>
      <c r="H43" s="10" t="n"/>
      <c r="I43" s="10" t="n"/>
      <c r="J43" s="10" t="n"/>
      <c r="K43" s="10" t="n"/>
      <c r="L43" s="10" t="n"/>
      <c r="M43" s="10" t="n"/>
      <c r="N43" s="16">
        <f>IF(A43="","",IF(OR(COUNTIF($A$8:$A$207,A43)&lt;&gt;1,COUNTIF('公司'!$A$8:$A$207,B43)&lt;&gt;1),"检查编号或关联","正常"))</f>
        <v/>
      </c>
    </row>
    <row r="44" ht="34" customHeight="1">
      <c r="A44" s="32" t="n"/>
      <c r="B44" s="32" t="n"/>
      <c r="C44" s="16">
        <f>IF(B44="","",IF(COUNTIF('公司'!$A$8:$A$207,B44)&lt;&gt;1,"编号缺失或重复",INDEX('公司'!$B$8:$B$207,MATCH(B44,'公司'!$A$8:$A$207,0))))</f>
        <v/>
      </c>
      <c r="D44" s="10" t="n"/>
      <c r="E44" s="10" t="n"/>
      <c r="F44" s="10" t="n"/>
      <c r="G44" s="32" t="n"/>
      <c r="H44" s="10" t="n"/>
      <c r="I44" s="10" t="n"/>
      <c r="J44" s="10" t="n"/>
      <c r="K44" s="10" t="n"/>
      <c r="L44" s="10" t="n"/>
      <c r="M44" s="10" t="n"/>
      <c r="N44" s="16">
        <f>IF(A44="","",IF(OR(COUNTIF($A$8:$A$207,A44)&lt;&gt;1,COUNTIF('公司'!$A$8:$A$207,B44)&lt;&gt;1),"检查编号或关联","正常"))</f>
        <v/>
      </c>
    </row>
    <row r="45" ht="34" customHeight="1">
      <c r="A45" s="32" t="n"/>
      <c r="B45" s="32" t="n"/>
      <c r="C45" s="16">
        <f>IF(B45="","",IF(COUNTIF('公司'!$A$8:$A$207,B45)&lt;&gt;1,"编号缺失或重复",INDEX('公司'!$B$8:$B$207,MATCH(B45,'公司'!$A$8:$A$207,0))))</f>
        <v/>
      </c>
      <c r="D45" s="10" t="n"/>
      <c r="E45" s="10" t="n"/>
      <c r="F45" s="10" t="n"/>
      <c r="G45" s="32" t="n"/>
      <c r="H45" s="10" t="n"/>
      <c r="I45" s="10" t="n"/>
      <c r="J45" s="10" t="n"/>
      <c r="K45" s="10" t="n"/>
      <c r="L45" s="10" t="n"/>
      <c r="M45" s="10" t="n"/>
      <c r="N45" s="16">
        <f>IF(A45="","",IF(OR(COUNTIF($A$8:$A$207,A45)&lt;&gt;1,COUNTIF('公司'!$A$8:$A$207,B45)&lt;&gt;1),"检查编号或关联","正常"))</f>
        <v/>
      </c>
    </row>
    <row r="46" ht="34" customHeight="1">
      <c r="A46" s="32" t="n"/>
      <c r="B46" s="32" t="n"/>
      <c r="C46" s="16">
        <f>IF(B46="","",IF(COUNTIF('公司'!$A$8:$A$207,B46)&lt;&gt;1,"编号缺失或重复",INDEX('公司'!$B$8:$B$207,MATCH(B46,'公司'!$A$8:$A$207,0))))</f>
        <v/>
      </c>
      <c r="D46" s="10" t="n"/>
      <c r="E46" s="10" t="n"/>
      <c r="F46" s="10" t="n"/>
      <c r="G46" s="32" t="n"/>
      <c r="H46" s="10" t="n"/>
      <c r="I46" s="10" t="n"/>
      <c r="J46" s="10" t="n"/>
      <c r="K46" s="10" t="n"/>
      <c r="L46" s="10" t="n"/>
      <c r="M46" s="10" t="n"/>
      <c r="N46" s="16">
        <f>IF(A46="","",IF(OR(COUNTIF($A$8:$A$207,A46)&lt;&gt;1,COUNTIF('公司'!$A$8:$A$207,B46)&lt;&gt;1),"检查编号或关联","正常"))</f>
        <v/>
      </c>
    </row>
    <row r="47" ht="34" customHeight="1">
      <c r="A47" s="32" t="n"/>
      <c r="B47" s="32" t="n"/>
      <c r="C47" s="16">
        <f>IF(B47="","",IF(COUNTIF('公司'!$A$8:$A$207,B47)&lt;&gt;1,"编号缺失或重复",INDEX('公司'!$B$8:$B$207,MATCH(B47,'公司'!$A$8:$A$207,0))))</f>
        <v/>
      </c>
      <c r="D47" s="10" t="n"/>
      <c r="E47" s="10" t="n"/>
      <c r="F47" s="10" t="n"/>
      <c r="G47" s="32" t="n"/>
      <c r="H47" s="10" t="n"/>
      <c r="I47" s="10" t="n"/>
      <c r="J47" s="10" t="n"/>
      <c r="K47" s="10" t="n"/>
      <c r="L47" s="10" t="n"/>
      <c r="M47" s="10" t="n"/>
      <c r="N47" s="16">
        <f>IF(A47="","",IF(OR(COUNTIF($A$8:$A$207,A47)&lt;&gt;1,COUNTIF('公司'!$A$8:$A$207,B47)&lt;&gt;1),"检查编号或关联","正常"))</f>
        <v/>
      </c>
    </row>
    <row r="48" ht="34" customHeight="1">
      <c r="A48" s="32" t="n"/>
      <c r="B48" s="32" t="n"/>
      <c r="C48" s="16">
        <f>IF(B48="","",IF(COUNTIF('公司'!$A$8:$A$207,B48)&lt;&gt;1,"编号缺失或重复",INDEX('公司'!$B$8:$B$207,MATCH(B48,'公司'!$A$8:$A$207,0))))</f>
        <v/>
      </c>
      <c r="D48" s="10" t="n"/>
      <c r="E48" s="10" t="n"/>
      <c r="F48" s="10" t="n"/>
      <c r="G48" s="32" t="n"/>
      <c r="H48" s="10" t="n"/>
      <c r="I48" s="10" t="n"/>
      <c r="J48" s="10" t="n"/>
      <c r="K48" s="10" t="n"/>
      <c r="L48" s="10" t="n"/>
      <c r="M48" s="10" t="n"/>
      <c r="N48" s="16">
        <f>IF(A48="","",IF(OR(COUNTIF($A$8:$A$207,A48)&lt;&gt;1,COUNTIF('公司'!$A$8:$A$207,B48)&lt;&gt;1),"检查编号或关联","正常"))</f>
        <v/>
      </c>
    </row>
    <row r="49" ht="34" customHeight="1">
      <c r="A49" s="32" t="n"/>
      <c r="B49" s="32" t="n"/>
      <c r="C49" s="16">
        <f>IF(B49="","",IF(COUNTIF('公司'!$A$8:$A$207,B49)&lt;&gt;1,"编号缺失或重复",INDEX('公司'!$B$8:$B$207,MATCH(B49,'公司'!$A$8:$A$207,0))))</f>
        <v/>
      </c>
      <c r="D49" s="10" t="n"/>
      <c r="E49" s="10" t="n"/>
      <c r="F49" s="10" t="n"/>
      <c r="G49" s="32" t="n"/>
      <c r="H49" s="10" t="n"/>
      <c r="I49" s="10" t="n"/>
      <c r="J49" s="10" t="n"/>
      <c r="K49" s="10" t="n"/>
      <c r="L49" s="10" t="n"/>
      <c r="M49" s="10" t="n"/>
      <c r="N49" s="16">
        <f>IF(A49="","",IF(OR(COUNTIF($A$8:$A$207,A49)&lt;&gt;1,COUNTIF('公司'!$A$8:$A$207,B49)&lt;&gt;1),"检查编号或关联","正常"))</f>
        <v/>
      </c>
    </row>
    <row r="50" ht="34" customHeight="1">
      <c r="A50" s="32" t="n"/>
      <c r="B50" s="32" t="n"/>
      <c r="C50" s="16">
        <f>IF(B50="","",IF(COUNTIF('公司'!$A$8:$A$207,B50)&lt;&gt;1,"编号缺失或重复",INDEX('公司'!$B$8:$B$207,MATCH(B50,'公司'!$A$8:$A$207,0))))</f>
        <v/>
      </c>
      <c r="D50" s="10" t="n"/>
      <c r="E50" s="10" t="n"/>
      <c r="F50" s="10" t="n"/>
      <c r="G50" s="32" t="n"/>
      <c r="H50" s="10" t="n"/>
      <c r="I50" s="10" t="n"/>
      <c r="J50" s="10" t="n"/>
      <c r="K50" s="10" t="n"/>
      <c r="L50" s="10" t="n"/>
      <c r="M50" s="10" t="n"/>
      <c r="N50" s="16">
        <f>IF(A50="","",IF(OR(COUNTIF($A$8:$A$207,A50)&lt;&gt;1,COUNTIF('公司'!$A$8:$A$207,B50)&lt;&gt;1),"检查编号或关联","正常"))</f>
        <v/>
      </c>
    </row>
    <row r="51" ht="34" customHeight="1">
      <c r="A51" s="32" t="n"/>
      <c r="B51" s="32" t="n"/>
      <c r="C51" s="16">
        <f>IF(B51="","",IF(COUNTIF('公司'!$A$8:$A$207,B51)&lt;&gt;1,"编号缺失或重复",INDEX('公司'!$B$8:$B$207,MATCH(B51,'公司'!$A$8:$A$207,0))))</f>
        <v/>
      </c>
      <c r="D51" s="10" t="n"/>
      <c r="E51" s="10" t="n"/>
      <c r="F51" s="10" t="n"/>
      <c r="G51" s="32" t="n"/>
      <c r="H51" s="10" t="n"/>
      <c r="I51" s="10" t="n"/>
      <c r="J51" s="10" t="n"/>
      <c r="K51" s="10" t="n"/>
      <c r="L51" s="10" t="n"/>
      <c r="M51" s="10" t="n"/>
      <c r="N51" s="16">
        <f>IF(A51="","",IF(OR(COUNTIF($A$8:$A$207,A51)&lt;&gt;1,COUNTIF('公司'!$A$8:$A$207,B51)&lt;&gt;1),"检查编号或关联","正常"))</f>
        <v/>
      </c>
    </row>
    <row r="52" ht="34" customHeight="1">
      <c r="A52" s="32" t="n"/>
      <c r="B52" s="32" t="n"/>
      <c r="C52" s="16">
        <f>IF(B52="","",IF(COUNTIF('公司'!$A$8:$A$207,B52)&lt;&gt;1,"编号缺失或重复",INDEX('公司'!$B$8:$B$207,MATCH(B52,'公司'!$A$8:$A$207,0))))</f>
        <v/>
      </c>
      <c r="D52" s="10" t="n"/>
      <c r="E52" s="10" t="n"/>
      <c r="F52" s="10" t="n"/>
      <c r="G52" s="32" t="n"/>
      <c r="H52" s="10" t="n"/>
      <c r="I52" s="10" t="n"/>
      <c r="J52" s="10" t="n"/>
      <c r="K52" s="10" t="n"/>
      <c r="L52" s="10" t="n"/>
      <c r="M52" s="10" t="n"/>
      <c r="N52" s="16">
        <f>IF(A52="","",IF(OR(COUNTIF($A$8:$A$207,A52)&lt;&gt;1,COUNTIF('公司'!$A$8:$A$207,B52)&lt;&gt;1),"检查编号或关联","正常"))</f>
        <v/>
      </c>
    </row>
    <row r="53" ht="34" customHeight="1">
      <c r="A53" s="32" t="n"/>
      <c r="B53" s="32" t="n"/>
      <c r="C53" s="16">
        <f>IF(B53="","",IF(COUNTIF('公司'!$A$8:$A$207,B53)&lt;&gt;1,"编号缺失或重复",INDEX('公司'!$B$8:$B$207,MATCH(B53,'公司'!$A$8:$A$207,0))))</f>
        <v/>
      </c>
      <c r="D53" s="10" t="n"/>
      <c r="E53" s="10" t="n"/>
      <c r="F53" s="10" t="n"/>
      <c r="G53" s="32" t="n"/>
      <c r="H53" s="10" t="n"/>
      <c r="I53" s="10" t="n"/>
      <c r="J53" s="10" t="n"/>
      <c r="K53" s="10" t="n"/>
      <c r="L53" s="10" t="n"/>
      <c r="M53" s="10" t="n"/>
      <c r="N53" s="16">
        <f>IF(A53="","",IF(OR(COUNTIF($A$8:$A$207,A53)&lt;&gt;1,COUNTIF('公司'!$A$8:$A$207,B53)&lt;&gt;1),"检查编号或关联","正常"))</f>
        <v/>
      </c>
    </row>
    <row r="54" ht="34" customHeight="1">
      <c r="A54" s="32" t="n"/>
      <c r="B54" s="32" t="n"/>
      <c r="C54" s="16">
        <f>IF(B54="","",IF(COUNTIF('公司'!$A$8:$A$207,B54)&lt;&gt;1,"编号缺失或重复",INDEX('公司'!$B$8:$B$207,MATCH(B54,'公司'!$A$8:$A$207,0))))</f>
        <v/>
      </c>
      <c r="D54" s="10" t="n"/>
      <c r="E54" s="10" t="n"/>
      <c r="F54" s="10" t="n"/>
      <c r="G54" s="32" t="n"/>
      <c r="H54" s="10" t="n"/>
      <c r="I54" s="10" t="n"/>
      <c r="J54" s="10" t="n"/>
      <c r="K54" s="10" t="n"/>
      <c r="L54" s="10" t="n"/>
      <c r="M54" s="10" t="n"/>
      <c r="N54" s="16">
        <f>IF(A54="","",IF(OR(COUNTIF($A$8:$A$207,A54)&lt;&gt;1,COUNTIF('公司'!$A$8:$A$207,B54)&lt;&gt;1),"检查编号或关联","正常"))</f>
        <v/>
      </c>
    </row>
    <row r="55" ht="34" customHeight="1">
      <c r="A55" s="32" t="n"/>
      <c r="B55" s="32" t="n"/>
      <c r="C55" s="16">
        <f>IF(B55="","",IF(COUNTIF('公司'!$A$8:$A$207,B55)&lt;&gt;1,"编号缺失或重复",INDEX('公司'!$B$8:$B$207,MATCH(B55,'公司'!$A$8:$A$207,0))))</f>
        <v/>
      </c>
      <c r="D55" s="10" t="n"/>
      <c r="E55" s="10" t="n"/>
      <c r="F55" s="10" t="n"/>
      <c r="G55" s="32" t="n"/>
      <c r="H55" s="10" t="n"/>
      <c r="I55" s="10" t="n"/>
      <c r="J55" s="10" t="n"/>
      <c r="K55" s="10" t="n"/>
      <c r="L55" s="10" t="n"/>
      <c r="M55" s="10" t="n"/>
      <c r="N55" s="16">
        <f>IF(A55="","",IF(OR(COUNTIF($A$8:$A$207,A55)&lt;&gt;1,COUNTIF('公司'!$A$8:$A$207,B55)&lt;&gt;1),"检查编号或关联","正常"))</f>
        <v/>
      </c>
    </row>
    <row r="56" ht="34" customHeight="1">
      <c r="A56" s="32" t="n"/>
      <c r="B56" s="32" t="n"/>
      <c r="C56" s="16">
        <f>IF(B56="","",IF(COUNTIF('公司'!$A$8:$A$207,B56)&lt;&gt;1,"编号缺失或重复",INDEX('公司'!$B$8:$B$207,MATCH(B56,'公司'!$A$8:$A$207,0))))</f>
        <v/>
      </c>
      <c r="D56" s="10" t="n"/>
      <c r="E56" s="10" t="n"/>
      <c r="F56" s="10" t="n"/>
      <c r="G56" s="32" t="n"/>
      <c r="H56" s="10" t="n"/>
      <c r="I56" s="10" t="n"/>
      <c r="J56" s="10" t="n"/>
      <c r="K56" s="10" t="n"/>
      <c r="L56" s="10" t="n"/>
      <c r="M56" s="10" t="n"/>
      <c r="N56" s="16">
        <f>IF(A56="","",IF(OR(COUNTIF($A$8:$A$207,A56)&lt;&gt;1,COUNTIF('公司'!$A$8:$A$207,B56)&lt;&gt;1),"检查编号或关联","正常"))</f>
        <v/>
      </c>
    </row>
    <row r="57" ht="34" customHeight="1">
      <c r="A57" s="32" t="n"/>
      <c r="B57" s="32" t="n"/>
      <c r="C57" s="16">
        <f>IF(B57="","",IF(COUNTIF('公司'!$A$8:$A$207,B57)&lt;&gt;1,"编号缺失或重复",INDEX('公司'!$B$8:$B$207,MATCH(B57,'公司'!$A$8:$A$207,0))))</f>
        <v/>
      </c>
      <c r="D57" s="10" t="n"/>
      <c r="E57" s="10" t="n"/>
      <c r="F57" s="10" t="n"/>
      <c r="G57" s="32" t="n"/>
      <c r="H57" s="10" t="n"/>
      <c r="I57" s="10" t="n"/>
      <c r="J57" s="10" t="n"/>
      <c r="K57" s="10" t="n"/>
      <c r="L57" s="10" t="n"/>
      <c r="M57" s="10" t="n"/>
      <c r="N57" s="16">
        <f>IF(A57="","",IF(OR(COUNTIF($A$8:$A$207,A57)&lt;&gt;1,COUNTIF('公司'!$A$8:$A$207,B57)&lt;&gt;1),"检查编号或关联","正常"))</f>
        <v/>
      </c>
    </row>
    <row r="58" ht="34" customHeight="1">
      <c r="A58" s="32" t="n"/>
      <c r="B58" s="32" t="n"/>
      <c r="C58" s="16">
        <f>IF(B58="","",IF(COUNTIF('公司'!$A$8:$A$207,B58)&lt;&gt;1,"编号缺失或重复",INDEX('公司'!$B$8:$B$207,MATCH(B58,'公司'!$A$8:$A$207,0))))</f>
        <v/>
      </c>
      <c r="D58" s="10" t="n"/>
      <c r="E58" s="10" t="n"/>
      <c r="F58" s="10" t="n"/>
      <c r="G58" s="32" t="n"/>
      <c r="H58" s="10" t="n"/>
      <c r="I58" s="10" t="n"/>
      <c r="J58" s="10" t="n"/>
      <c r="K58" s="10" t="n"/>
      <c r="L58" s="10" t="n"/>
      <c r="M58" s="10" t="n"/>
      <c r="N58" s="16">
        <f>IF(A58="","",IF(OR(COUNTIF($A$8:$A$207,A58)&lt;&gt;1,COUNTIF('公司'!$A$8:$A$207,B58)&lt;&gt;1),"检查编号或关联","正常"))</f>
        <v/>
      </c>
    </row>
    <row r="59" ht="34" customHeight="1">
      <c r="A59" s="32" t="n"/>
      <c r="B59" s="32" t="n"/>
      <c r="C59" s="16">
        <f>IF(B59="","",IF(COUNTIF('公司'!$A$8:$A$207,B59)&lt;&gt;1,"编号缺失或重复",INDEX('公司'!$B$8:$B$207,MATCH(B59,'公司'!$A$8:$A$207,0))))</f>
        <v/>
      </c>
      <c r="D59" s="10" t="n"/>
      <c r="E59" s="10" t="n"/>
      <c r="F59" s="10" t="n"/>
      <c r="G59" s="32" t="n"/>
      <c r="H59" s="10" t="n"/>
      <c r="I59" s="10" t="n"/>
      <c r="J59" s="10" t="n"/>
      <c r="K59" s="10" t="n"/>
      <c r="L59" s="10" t="n"/>
      <c r="M59" s="10" t="n"/>
      <c r="N59" s="16">
        <f>IF(A59="","",IF(OR(COUNTIF($A$8:$A$207,A59)&lt;&gt;1,COUNTIF('公司'!$A$8:$A$207,B59)&lt;&gt;1),"检查编号或关联","正常"))</f>
        <v/>
      </c>
    </row>
    <row r="60" ht="34" customHeight="1">
      <c r="A60" s="32" t="n"/>
      <c r="B60" s="32" t="n"/>
      <c r="C60" s="16">
        <f>IF(B60="","",IF(COUNTIF('公司'!$A$8:$A$207,B60)&lt;&gt;1,"编号缺失或重复",INDEX('公司'!$B$8:$B$207,MATCH(B60,'公司'!$A$8:$A$207,0))))</f>
        <v/>
      </c>
      <c r="D60" s="10" t="n"/>
      <c r="E60" s="10" t="n"/>
      <c r="F60" s="10" t="n"/>
      <c r="G60" s="32" t="n"/>
      <c r="H60" s="10" t="n"/>
      <c r="I60" s="10" t="n"/>
      <c r="J60" s="10" t="n"/>
      <c r="K60" s="10" t="n"/>
      <c r="L60" s="10" t="n"/>
      <c r="M60" s="10" t="n"/>
      <c r="N60" s="16">
        <f>IF(A60="","",IF(OR(COUNTIF($A$8:$A$207,A60)&lt;&gt;1,COUNTIF('公司'!$A$8:$A$207,B60)&lt;&gt;1),"检查编号或关联","正常"))</f>
        <v/>
      </c>
    </row>
    <row r="61" ht="34" customHeight="1">
      <c r="A61" s="32" t="n"/>
      <c r="B61" s="32" t="n"/>
      <c r="C61" s="16">
        <f>IF(B61="","",IF(COUNTIF('公司'!$A$8:$A$207,B61)&lt;&gt;1,"编号缺失或重复",INDEX('公司'!$B$8:$B$207,MATCH(B61,'公司'!$A$8:$A$207,0))))</f>
        <v/>
      </c>
      <c r="D61" s="10" t="n"/>
      <c r="E61" s="10" t="n"/>
      <c r="F61" s="10" t="n"/>
      <c r="G61" s="32" t="n"/>
      <c r="H61" s="10" t="n"/>
      <c r="I61" s="10" t="n"/>
      <c r="J61" s="10" t="n"/>
      <c r="K61" s="10" t="n"/>
      <c r="L61" s="10" t="n"/>
      <c r="M61" s="10" t="n"/>
      <c r="N61" s="16">
        <f>IF(A61="","",IF(OR(COUNTIF($A$8:$A$207,A61)&lt;&gt;1,COUNTIF('公司'!$A$8:$A$207,B61)&lt;&gt;1),"检查编号或关联","正常"))</f>
        <v/>
      </c>
    </row>
    <row r="62" ht="34" customHeight="1">
      <c r="A62" s="32" t="n"/>
      <c r="B62" s="32" t="n"/>
      <c r="C62" s="16">
        <f>IF(B62="","",IF(COUNTIF('公司'!$A$8:$A$207,B62)&lt;&gt;1,"编号缺失或重复",INDEX('公司'!$B$8:$B$207,MATCH(B62,'公司'!$A$8:$A$207,0))))</f>
        <v/>
      </c>
      <c r="D62" s="10" t="n"/>
      <c r="E62" s="10" t="n"/>
      <c r="F62" s="10" t="n"/>
      <c r="G62" s="32" t="n"/>
      <c r="H62" s="10" t="n"/>
      <c r="I62" s="10" t="n"/>
      <c r="J62" s="10" t="n"/>
      <c r="K62" s="10" t="n"/>
      <c r="L62" s="10" t="n"/>
      <c r="M62" s="10" t="n"/>
      <c r="N62" s="16">
        <f>IF(A62="","",IF(OR(COUNTIF($A$8:$A$207,A62)&lt;&gt;1,COUNTIF('公司'!$A$8:$A$207,B62)&lt;&gt;1),"检查编号或关联","正常"))</f>
        <v/>
      </c>
    </row>
    <row r="63" ht="34" customHeight="1">
      <c r="A63" s="32" t="n"/>
      <c r="B63" s="32" t="n"/>
      <c r="C63" s="16">
        <f>IF(B63="","",IF(COUNTIF('公司'!$A$8:$A$207,B63)&lt;&gt;1,"编号缺失或重复",INDEX('公司'!$B$8:$B$207,MATCH(B63,'公司'!$A$8:$A$207,0))))</f>
        <v/>
      </c>
      <c r="D63" s="10" t="n"/>
      <c r="E63" s="10" t="n"/>
      <c r="F63" s="10" t="n"/>
      <c r="G63" s="32" t="n"/>
      <c r="H63" s="10" t="n"/>
      <c r="I63" s="10" t="n"/>
      <c r="J63" s="10" t="n"/>
      <c r="K63" s="10" t="n"/>
      <c r="L63" s="10" t="n"/>
      <c r="M63" s="10" t="n"/>
      <c r="N63" s="16">
        <f>IF(A63="","",IF(OR(COUNTIF($A$8:$A$207,A63)&lt;&gt;1,COUNTIF('公司'!$A$8:$A$207,B63)&lt;&gt;1),"检查编号或关联","正常"))</f>
        <v/>
      </c>
    </row>
    <row r="64" ht="34" customHeight="1">
      <c r="A64" s="32" t="n"/>
      <c r="B64" s="32" t="n"/>
      <c r="C64" s="16">
        <f>IF(B64="","",IF(COUNTIF('公司'!$A$8:$A$207,B64)&lt;&gt;1,"编号缺失或重复",INDEX('公司'!$B$8:$B$207,MATCH(B64,'公司'!$A$8:$A$207,0))))</f>
        <v/>
      </c>
      <c r="D64" s="10" t="n"/>
      <c r="E64" s="10" t="n"/>
      <c r="F64" s="10" t="n"/>
      <c r="G64" s="32" t="n"/>
      <c r="H64" s="10" t="n"/>
      <c r="I64" s="10" t="n"/>
      <c r="J64" s="10" t="n"/>
      <c r="K64" s="10" t="n"/>
      <c r="L64" s="10" t="n"/>
      <c r="M64" s="10" t="n"/>
      <c r="N64" s="16">
        <f>IF(A64="","",IF(OR(COUNTIF($A$8:$A$207,A64)&lt;&gt;1,COUNTIF('公司'!$A$8:$A$207,B64)&lt;&gt;1),"检查编号或关联","正常"))</f>
        <v/>
      </c>
    </row>
    <row r="65" ht="34" customHeight="1">
      <c r="A65" s="32" t="n"/>
      <c r="B65" s="32" t="n"/>
      <c r="C65" s="16">
        <f>IF(B65="","",IF(COUNTIF('公司'!$A$8:$A$207,B65)&lt;&gt;1,"编号缺失或重复",INDEX('公司'!$B$8:$B$207,MATCH(B65,'公司'!$A$8:$A$207,0))))</f>
        <v/>
      </c>
      <c r="D65" s="10" t="n"/>
      <c r="E65" s="10" t="n"/>
      <c r="F65" s="10" t="n"/>
      <c r="G65" s="32" t="n"/>
      <c r="H65" s="10" t="n"/>
      <c r="I65" s="10" t="n"/>
      <c r="J65" s="10" t="n"/>
      <c r="K65" s="10" t="n"/>
      <c r="L65" s="10" t="n"/>
      <c r="M65" s="10" t="n"/>
      <c r="N65" s="16">
        <f>IF(A65="","",IF(OR(COUNTIF($A$8:$A$207,A65)&lt;&gt;1,COUNTIF('公司'!$A$8:$A$207,B65)&lt;&gt;1),"检查编号或关联","正常"))</f>
        <v/>
      </c>
    </row>
    <row r="66" ht="34" customHeight="1">
      <c r="A66" s="32" t="n"/>
      <c r="B66" s="32" t="n"/>
      <c r="C66" s="16">
        <f>IF(B66="","",IF(COUNTIF('公司'!$A$8:$A$207,B66)&lt;&gt;1,"编号缺失或重复",INDEX('公司'!$B$8:$B$207,MATCH(B66,'公司'!$A$8:$A$207,0))))</f>
        <v/>
      </c>
      <c r="D66" s="10" t="n"/>
      <c r="E66" s="10" t="n"/>
      <c r="F66" s="10" t="n"/>
      <c r="G66" s="32" t="n"/>
      <c r="H66" s="10" t="n"/>
      <c r="I66" s="10" t="n"/>
      <c r="J66" s="10" t="n"/>
      <c r="K66" s="10" t="n"/>
      <c r="L66" s="10" t="n"/>
      <c r="M66" s="10" t="n"/>
      <c r="N66" s="16">
        <f>IF(A66="","",IF(OR(COUNTIF($A$8:$A$207,A66)&lt;&gt;1,COUNTIF('公司'!$A$8:$A$207,B66)&lt;&gt;1),"检查编号或关联","正常"))</f>
        <v/>
      </c>
    </row>
    <row r="67" ht="34" customHeight="1">
      <c r="A67" s="32" t="n"/>
      <c r="B67" s="32" t="n"/>
      <c r="C67" s="16">
        <f>IF(B67="","",IF(COUNTIF('公司'!$A$8:$A$207,B67)&lt;&gt;1,"编号缺失或重复",INDEX('公司'!$B$8:$B$207,MATCH(B67,'公司'!$A$8:$A$207,0))))</f>
        <v/>
      </c>
      <c r="D67" s="10" t="n"/>
      <c r="E67" s="10" t="n"/>
      <c r="F67" s="10" t="n"/>
      <c r="G67" s="32" t="n"/>
      <c r="H67" s="10" t="n"/>
      <c r="I67" s="10" t="n"/>
      <c r="J67" s="10" t="n"/>
      <c r="K67" s="10" t="n"/>
      <c r="L67" s="10" t="n"/>
      <c r="M67" s="10" t="n"/>
      <c r="N67" s="16">
        <f>IF(A67="","",IF(OR(COUNTIF($A$8:$A$207,A67)&lt;&gt;1,COUNTIF('公司'!$A$8:$A$207,B67)&lt;&gt;1),"检查编号或关联","正常"))</f>
        <v/>
      </c>
    </row>
    <row r="68" ht="34" customHeight="1">
      <c r="A68" s="32" t="n"/>
      <c r="B68" s="32" t="n"/>
      <c r="C68" s="16">
        <f>IF(B68="","",IF(COUNTIF('公司'!$A$8:$A$207,B68)&lt;&gt;1,"编号缺失或重复",INDEX('公司'!$B$8:$B$207,MATCH(B68,'公司'!$A$8:$A$207,0))))</f>
        <v/>
      </c>
      <c r="D68" s="10" t="n"/>
      <c r="E68" s="10" t="n"/>
      <c r="F68" s="10" t="n"/>
      <c r="G68" s="32" t="n"/>
      <c r="H68" s="10" t="n"/>
      <c r="I68" s="10" t="n"/>
      <c r="J68" s="10" t="n"/>
      <c r="K68" s="10" t="n"/>
      <c r="L68" s="10" t="n"/>
      <c r="M68" s="10" t="n"/>
      <c r="N68" s="16">
        <f>IF(A68="","",IF(OR(COUNTIF($A$8:$A$207,A68)&lt;&gt;1,COUNTIF('公司'!$A$8:$A$207,B68)&lt;&gt;1),"检查编号或关联","正常"))</f>
        <v/>
      </c>
    </row>
    <row r="69" ht="34" customHeight="1">
      <c r="A69" s="32" t="n"/>
      <c r="B69" s="32" t="n"/>
      <c r="C69" s="16">
        <f>IF(B69="","",IF(COUNTIF('公司'!$A$8:$A$207,B69)&lt;&gt;1,"编号缺失或重复",INDEX('公司'!$B$8:$B$207,MATCH(B69,'公司'!$A$8:$A$207,0))))</f>
        <v/>
      </c>
      <c r="D69" s="10" t="n"/>
      <c r="E69" s="10" t="n"/>
      <c r="F69" s="10" t="n"/>
      <c r="G69" s="32" t="n"/>
      <c r="H69" s="10" t="n"/>
      <c r="I69" s="10" t="n"/>
      <c r="J69" s="10" t="n"/>
      <c r="K69" s="10" t="n"/>
      <c r="L69" s="10" t="n"/>
      <c r="M69" s="10" t="n"/>
      <c r="N69" s="16">
        <f>IF(A69="","",IF(OR(COUNTIF($A$8:$A$207,A69)&lt;&gt;1,COUNTIF('公司'!$A$8:$A$207,B69)&lt;&gt;1),"检查编号或关联","正常"))</f>
        <v/>
      </c>
    </row>
    <row r="70" ht="34" customHeight="1">
      <c r="A70" s="32" t="n"/>
      <c r="B70" s="32" t="n"/>
      <c r="C70" s="16">
        <f>IF(B70="","",IF(COUNTIF('公司'!$A$8:$A$207,B70)&lt;&gt;1,"编号缺失或重复",INDEX('公司'!$B$8:$B$207,MATCH(B70,'公司'!$A$8:$A$207,0))))</f>
        <v/>
      </c>
      <c r="D70" s="10" t="n"/>
      <c r="E70" s="10" t="n"/>
      <c r="F70" s="10" t="n"/>
      <c r="G70" s="32" t="n"/>
      <c r="H70" s="10" t="n"/>
      <c r="I70" s="10" t="n"/>
      <c r="J70" s="10" t="n"/>
      <c r="K70" s="10" t="n"/>
      <c r="L70" s="10" t="n"/>
      <c r="M70" s="10" t="n"/>
      <c r="N70" s="16">
        <f>IF(A70="","",IF(OR(COUNTIF($A$8:$A$207,A70)&lt;&gt;1,COUNTIF('公司'!$A$8:$A$207,B70)&lt;&gt;1),"检查编号或关联","正常"))</f>
        <v/>
      </c>
    </row>
    <row r="71" ht="34" customHeight="1">
      <c r="A71" s="32" t="n"/>
      <c r="B71" s="32" t="n"/>
      <c r="C71" s="16">
        <f>IF(B71="","",IF(COUNTIF('公司'!$A$8:$A$207,B71)&lt;&gt;1,"编号缺失或重复",INDEX('公司'!$B$8:$B$207,MATCH(B71,'公司'!$A$8:$A$207,0))))</f>
        <v/>
      </c>
      <c r="D71" s="10" t="n"/>
      <c r="E71" s="10" t="n"/>
      <c r="F71" s="10" t="n"/>
      <c r="G71" s="32" t="n"/>
      <c r="H71" s="10" t="n"/>
      <c r="I71" s="10" t="n"/>
      <c r="J71" s="10" t="n"/>
      <c r="K71" s="10" t="n"/>
      <c r="L71" s="10" t="n"/>
      <c r="M71" s="10" t="n"/>
      <c r="N71" s="16">
        <f>IF(A71="","",IF(OR(COUNTIF($A$8:$A$207,A71)&lt;&gt;1,COUNTIF('公司'!$A$8:$A$207,B71)&lt;&gt;1),"检查编号或关联","正常"))</f>
        <v/>
      </c>
    </row>
    <row r="72" ht="34" customHeight="1">
      <c r="A72" s="32" t="n"/>
      <c r="B72" s="32" t="n"/>
      <c r="C72" s="16">
        <f>IF(B72="","",IF(COUNTIF('公司'!$A$8:$A$207,B72)&lt;&gt;1,"编号缺失或重复",INDEX('公司'!$B$8:$B$207,MATCH(B72,'公司'!$A$8:$A$207,0))))</f>
        <v/>
      </c>
      <c r="D72" s="10" t="n"/>
      <c r="E72" s="10" t="n"/>
      <c r="F72" s="10" t="n"/>
      <c r="G72" s="32" t="n"/>
      <c r="H72" s="10" t="n"/>
      <c r="I72" s="10" t="n"/>
      <c r="J72" s="10" t="n"/>
      <c r="K72" s="10" t="n"/>
      <c r="L72" s="10" t="n"/>
      <c r="M72" s="10" t="n"/>
      <c r="N72" s="16">
        <f>IF(A72="","",IF(OR(COUNTIF($A$8:$A$207,A72)&lt;&gt;1,COUNTIF('公司'!$A$8:$A$207,B72)&lt;&gt;1),"检查编号或关联","正常"))</f>
        <v/>
      </c>
    </row>
    <row r="73" ht="34" customHeight="1">
      <c r="A73" s="32" t="n"/>
      <c r="B73" s="32" t="n"/>
      <c r="C73" s="16">
        <f>IF(B73="","",IF(COUNTIF('公司'!$A$8:$A$207,B73)&lt;&gt;1,"编号缺失或重复",INDEX('公司'!$B$8:$B$207,MATCH(B73,'公司'!$A$8:$A$207,0))))</f>
        <v/>
      </c>
      <c r="D73" s="10" t="n"/>
      <c r="E73" s="10" t="n"/>
      <c r="F73" s="10" t="n"/>
      <c r="G73" s="32" t="n"/>
      <c r="H73" s="10" t="n"/>
      <c r="I73" s="10" t="n"/>
      <c r="J73" s="10" t="n"/>
      <c r="K73" s="10" t="n"/>
      <c r="L73" s="10" t="n"/>
      <c r="M73" s="10" t="n"/>
      <c r="N73" s="16">
        <f>IF(A73="","",IF(OR(COUNTIF($A$8:$A$207,A73)&lt;&gt;1,COUNTIF('公司'!$A$8:$A$207,B73)&lt;&gt;1),"检查编号或关联","正常"))</f>
        <v/>
      </c>
    </row>
    <row r="74" ht="34" customHeight="1">
      <c r="A74" s="32" t="n"/>
      <c r="B74" s="32" t="n"/>
      <c r="C74" s="16">
        <f>IF(B74="","",IF(COUNTIF('公司'!$A$8:$A$207,B74)&lt;&gt;1,"编号缺失或重复",INDEX('公司'!$B$8:$B$207,MATCH(B74,'公司'!$A$8:$A$207,0))))</f>
        <v/>
      </c>
      <c r="D74" s="10" t="n"/>
      <c r="E74" s="10" t="n"/>
      <c r="F74" s="10" t="n"/>
      <c r="G74" s="32" t="n"/>
      <c r="H74" s="10" t="n"/>
      <c r="I74" s="10" t="n"/>
      <c r="J74" s="10" t="n"/>
      <c r="K74" s="10" t="n"/>
      <c r="L74" s="10" t="n"/>
      <c r="M74" s="10" t="n"/>
      <c r="N74" s="16">
        <f>IF(A74="","",IF(OR(COUNTIF($A$8:$A$207,A74)&lt;&gt;1,COUNTIF('公司'!$A$8:$A$207,B74)&lt;&gt;1),"检查编号或关联","正常"))</f>
        <v/>
      </c>
    </row>
    <row r="75" ht="34" customHeight="1">
      <c r="A75" s="32" t="n"/>
      <c r="B75" s="32" t="n"/>
      <c r="C75" s="16">
        <f>IF(B75="","",IF(COUNTIF('公司'!$A$8:$A$207,B75)&lt;&gt;1,"编号缺失或重复",INDEX('公司'!$B$8:$B$207,MATCH(B75,'公司'!$A$8:$A$207,0))))</f>
        <v/>
      </c>
      <c r="D75" s="10" t="n"/>
      <c r="E75" s="10" t="n"/>
      <c r="F75" s="10" t="n"/>
      <c r="G75" s="32" t="n"/>
      <c r="H75" s="10" t="n"/>
      <c r="I75" s="10" t="n"/>
      <c r="J75" s="10" t="n"/>
      <c r="K75" s="10" t="n"/>
      <c r="L75" s="10" t="n"/>
      <c r="M75" s="10" t="n"/>
      <c r="N75" s="16">
        <f>IF(A75="","",IF(OR(COUNTIF($A$8:$A$207,A75)&lt;&gt;1,COUNTIF('公司'!$A$8:$A$207,B75)&lt;&gt;1),"检查编号或关联","正常"))</f>
        <v/>
      </c>
    </row>
    <row r="76" ht="34" customHeight="1">
      <c r="A76" s="32" t="n"/>
      <c r="B76" s="32" t="n"/>
      <c r="C76" s="16">
        <f>IF(B76="","",IF(COUNTIF('公司'!$A$8:$A$207,B76)&lt;&gt;1,"编号缺失或重复",INDEX('公司'!$B$8:$B$207,MATCH(B76,'公司'!$A$8:$A$207,0))))</f>
        <v/>
      </c>
      <c r="D76" s="10" t="n"/>
      <c r="E76" s="10" t="n"/>
      <c r="F76" s="10" t="n"/>
      <c r="G76" s="32" t="n"/>
      <c r="H76" s="10" t="n"/>
      <c r="I76" s="10" t="n"/>
      <c r="J76" s="10" t="n"/>
      <c r="K76" s="10" t="n"/>
      <c r="L76" s="10" t="n"/>
      <c r="M76" s="10" t="n"/>
      <c r="N76" s="16">
        <f>IF(A76="","",IF(OR(COUNTIF($A$8:$A$207,A76)&lt;&gt;1,COUNTIF('公司'!$A$8:$A$207,B76)&lt;&gt;1),"检查编号或关联","正常"))</f>
        <v/>
      </c>
    </row>
    <row r="77" ht="34" customHeight="1">
      <c r="A77" s="32" t="n"/>
      <c r="B77" s="32" t="n"/>
      <c r="C77" s="16">
        <f>IF(B77="","",IF(COUNTIF('公司'!$A$8:$A$207,B77)&lt;&gt;1,"编号缺失或重复",INDEX('公司'!$B$8:$B$207,MATCH(B77,'公司'!$A$8:$A$207,0))))</f>
        <v/>
      </c>
      <c r="D77" s="10" t="n"/>
      <c r="E77" s="10" t="n"/>
      <c r="F77" s="10" t="n"/>
      <c r="G77" s="32" t="n"/>
      <c r="H77" s="10" t="n"/>
      <c r="I77" s="10" t="n"/>
      <c r="J77" s="10" t="n"/>
      <c r="K77" s="10" t="n"/>
      <c r="L77" s="10" t="n"/>
      <c r="M77" s="10" t="n"/>
      <c r="N77" s="16">
        <f>IF(A77="","",IF(OR(COUNTIF($A$8:$A$207,A77)&lt;&gt;1,COUNTIF('公司'!$A$8:$A$207,B77)&lt;&gt;1),"检查编号或关联","正常"))</f>
        <v/>
      </c>
    </row>
    <row r="78" ht="34" customHeight="1">
      <c r="A78" s="32" t="n"/>
      <c r="B78" s="32" t="n"/>
      <c r="C78" s="16">
        <f>IF(B78="","",IF(COUNTIF('公司'!$A$8:$A$207,B78)&lt;&gt;1,"编号缺失或重复",INDEX('公司'!$B$8:$B$207,MATCH(B78,'公司'!$A$8:$A$207,0))))</f>
        <v/>
      </c>
      <c r="D78" s="10" t="n"/>
      <c r="E78" s="10" t="n"/>
      <c r="F78" s="10" t="n"/>
      <c r="G78" s="32" t="n"/>
      <c r="H78" s="10" t="n"/>
      <c r="I78" s="10" t="n"/>
      <c r="J78" s="10" t="n"/>
      <c r="K78" s="10" t="n"/>
      <c r="L78" s="10" t="n"/>
      <c r="M78" s="10" t="n"/>
      <c r="N78" s="16">
        <f>IF(A78="","",IF(OR(COUNTIF($A$8:$A$207,A78)&lt;&gt;1,COUNTIF('公司'!$A$8:$A$207,B78)&lt;&gt;1),"检查编号或关联","正常"))</f>
        <v/>
      </c>
    </row>
    <row r="79" ht="34" customHeight="1">
      <c r="A79" s="32" t="n"/>
      <c r="B79" s="32" t="n"/>
      <c r="C79" s="16">
        <f>IF(B79="","",IF(COUNTIF('公司'!$A$8:$A$207,B79)&lt;&gt;1,"编号缺失或重复",INDEX('公司'!$B$8:$B$207,MATCH(B79,'公司'!$A$8:$A$207,0))))</f>
        <v/>
      </c>
      <c r="D79" s="10" t="n"/>
      <c r="E79" s="10" t="n"/>
      <c r="F79" s="10" t="n"/>
      <c r="G79" s="32" t="n"/>
      <c r="H79" s="10" t="n"/>
      <c r="I79" s="10" t="n"/>
      <c r="J79" s="10" t="n"/>
      <c r="K79" s="10" t="n"/>
      <c r="L79" s="10" t="n"/>
      <c r="M79" s="10" t="n"/>
      <c r="N79" s="16">
        <f>IF(A79="","",IF(OR(COUNTIF($A$8:$A$207,A79)&lt;&gt;1,COUNTIF('公司'!$A$8:$A$207,B79)&lt;&gt;1),"检查编号或关联","正常"))</f>
        <v/>
      </c>
    </row>
    <row r="80" ht="34" customHeight="1">
      <c r="A80" s="32" t="n"/>
      <c r="B80" s="32" t="n"/>
      <c r="C80" s="16">
        <f>IF(B80="","",IF(COUNTIF('公司'!$A$8:$A$207,B80)&lt;&gt;1,"编号缺失或重复",INDEX('公司'!$B$8:$B$207,MATCH(B80,'公司'!$A$8:$A$207,0))))</f>
        <v/>
      </c>
      <c r="D80" s="10" t="n"/>
      <c r="E80" s="10" t="n"/>
      <c r="F80" s="10" t="n"/>
      <c r="G80" s="32" t="n"/>
      <c r="H80" s="10" t="n"/>
      <c r="I80" s="10" t="n"/>
      <c r="J80" s="10" t="n"/>
      <c r="K80" s="10" t="n"/>
      <c r="L80" s="10" t="n"/>
      <c r="M80" s="10" t="n"/>
      <c r="N80" s="16">
        <f>IF(A80="","",IF(OR(COUNTIF($A$8:$A$207,A80)&lt;&gt;1,COUNTIF('公司'!$A$8:$A$207,B80)&lt;&gt;1),"检查编号或关联","正常"))</f>
        <v/>
      </c>
    </row>
    <row r="81" ht="34" customHeight="1">
      <c r="A81" s="32" t="n"/>
      <c r="B81" s="32" t="n"/>
      <c r="C81" s="16">
        <f>IF(B81="","",IF(COUNTIF('公司'!$A$8:$A$207,B81)&lt;&gt;1,"编号缺失或重复",INDEX('公司'!$B$8:$B$207,MATCH(B81,'公司'!$A$8:$A$207,0))))</f>
        <v/>
      </c>
      <c r="D81" s="10" t="n"/>
      <c r="E81" s="10" t="n"/>
      <c r="F81" s="10" t="n"/>
      <c r="G81" s="32" t="n"/>
      <c r="H81" s="10" t="n"/>
      <c r="I81" s="10" t="n"/>
      <c r="J81" s="10" t="n"/>
      <c r="K81" s="10" t="n"/>
      <c r="L81" s="10" t="n"/>
      <c r="M81" s="10" t="n"/>
      <c r="N81" s="16">
        <f>IF(A81="","",IF(OR(COUNTIF($A$8:$A$207,A81)&lt;&gt;1,COUNTIF('公司'!$A$8:$A$207,B81)&lt;&gt;1),"检查编号或关联","正常"))</f>
        <v/>
      </c>
    </row>
    <row r="82" ht="34" customHeight="1">
      <c r="A82" s="32" t="n"/>
      <c r="B82" s="32" t="n"/>
      <c r="C82" s="16">
        <f>IF(B82="","",IF(COUNTIF('公司'!$A$8:$A$207,B82)&lt;&gt;1,"编号缺失或重复",INDEX('公司'!$B$8:$B$207,MATCH(B82,'公司'!$A$8:$A$207,0))))</f>
        <v/>
      </c>
      <c r="D82" s="10" t="n"/>
      <c r="E82" s="10" t="n"/>
      <c r="F82" s="10" t="n"/>
      <c r="G82" s="32" t="n"/>
      <c r="H82" s="10" t="n"/>
      <c r="I82" s="10" t="n"/>
      <c r="J82" s="10" t="n"/>
      <c r="K82" s="10" t="n"/>
      <c r="L82" s="10" t="n"/>
      <c r="M82" s="10" t="n"/>
      <c r="N82" s="16">
        <f>IF(A82="","",IF(OR(COUNTIF($A$8:$A$207,A82)&lt;&gt;1,COUNTIF('公司'!$A$8:$A$207,B82)&lt;&gt;1),"检查编号或关联","正常"))</f>
        <v/>
      </c>
    </row>
    <row r="83" ht="34" customHeight="1">
      <c r="A83" s="32" t="n"/>
      <c r="B83" s="32" t="n"/>
      <c r="C83" s="16">
        <f>IF(B83="","",IF(COUNTIF('公司'!$A$8:$A$207,B83)&lt;&gt;1,"编号缺失或重复",INDEX('公司'!$B$8:$B$207,MATCH(B83,'公司'!$A$8:$A$207,0))))</f>
        <v/>
      </c>
      <c r="D83" s="10" t="n"/>
      <c r="E83" s="10" t="n"/>
      <c r="F83" s="10" t="n"/>
      <c r="G83" s="32" t="n"/>
      <c r="H83" s="10" t="n"/>
      <c r="I83" s="10" t="n"/>
      <c r="J83" s="10" t="n"/>
      <c r="K83" s="10" t="n"/>
      <c r="L83" s="10" t="n"/>
      <c r="M83" s="10" t="n"/>
      <c r="N83" s="16">
        <f>IF(A83="","",IF(OR(COUNTIF($A$8:$A$207,A83)&lt;&gt;1,COUNTIF('公司'!$A$8:$A$207,B83)&lt;&gt;1),"检查编号或关联","正常"))</f>
        <v/>
      </c>
    </row>
    <row r="84" ht="34" customHeight="1">
      <c r="A84" s="32" t="n"/>
      <c r="B84" s="32" t="n"/>
      <c r="C84" s="16">
        <f>IF(B84="","",IF(COUNTIF('公司'!$A$8:$A$207,B84)&lt;&gt;1,"编号缺失或重复",INDEX('公司'!$B$8:$B$207,MATCH(B84,'公司'!$A$8:$A$207,0))))</f>
        <v/>
      </c>
      <c r="D84" s="10" t="n"/>
      <c r="E84" s="10" t="n"/>
      <c r="F84" s="10" t="n"/>
      <c r="G84" s="32" t="n"/>
      <c r="H84" s="10" t="n"/>
      <c r="I84" s="10" t="n"/>
      <c r="J84" s="10" t="n"/>
      <c r="K84" s="10" t="n"/>
      <c r="L84" s="10" t="n"/>
      <c r="M84" s="10" t="n"/>
      <c r="N84" s="16">
        <f>IF(A84="","",IF(OR(COUNTIF($A$8:$A$207,A84)&lt;&gt;1,COUNTIF('公司'!$A$8:$A$207,B84)&lt;&gt;1),"检查编号或关联","正常"))</f>
        <v/>
      </c>
    </row>
    <row r="85" ht="34" customHeight="1">
      <c r="A85" s="32" t="n"/>
      <c r="B85" s="32" t="n"/>
      <c r="C85" s="16">
        <f>IF(B85="","",IF(COUNTIF('公司'!$A$8:$A$207,B85)&lt;&gt;1,"编号缺失或重复",INDEX('公司'!$B$8:$B$207,MATCH(B85,'公司'!$A$8:$A$207,0))))</f>
        <v/>
      </c>
      <c r="D85" s="10" t="n"/>
      <c r="E85" s="10" t="n"/>
      <c r="F85" s="10" t="n"/>
      <c r="G85" s="32" t="n"/>
      <c r="H85" s="10" t="n"/>
      <c r="I85" s="10" t="n"/>
      <c r="J85" s="10" t="n"/>
      <c r="K85" s="10" t="n"/>
      <c r="L85" s="10" t="n"/>
      <c r="M85" s="10" t="n"/>
      <c r="N85" s="16">
        <f>IF(A85="","",IF(OR(COUNTIF($A$8:$A$207,A85)&lt;&gt;1,COUNTIF('公司'!$A$8:$A$207,B85)&lt;&gt;1),"检查编号或关联","正常"))</f>
        <v/>
      </c>
    </row>
    <row r="86" ht="34" customHeight="1">
      <c r="A86" s="32" t="n"/>
      <c r="B86" s="32" t="n"/>
      <c r="C86" s="16">
        <f>IF(B86="","",IF(COUNTIF('公司'!$A$8:$A$207,B86)&lt;&gt;1,"编号缺失或重复",INDEX('公司'!$B$8:$B$207,MATCH(B86,'公司'!$A$8:$A$207,0))))</f>
        <v/>
      </c>
      <c r="D86" s="10" t="n"/>
      <c r="E86" s="10" t="n"/>
      <c r="F86" s="10" t="n"/>
      <c r="G86" s="32" t="n"/>
      <c r="H86" s="10" t="n"/>
      <c r="I86" s="10" t="n"/>
      <c r="J86" s="10" t="n"/>
      <c r="K86" s="10" t="n"/>
      <c r="L86" s="10" t="n"/>
      <c r="M86" s="10" t="n"/>
      <c r="N86" s="16">
        <f>IF(A86="","",IF(OR(COUNTIF($A$8:$A$207,A86)&lt;&gt;1,COUNTIF('公司'!$A$8:$A$207,B86)&lt;&gt;1),"检查编号或关联","正常"))</f>
        <v/>
      </c>
    </row>
    <row r="87" ht="34" customHeight="1">
      <c r="A87" s="32" t="n"/>
      <c r="B87" s="32" t="n"/>
      <c r="C87" s="16">
        <f>IF(B87="","",IF(COUNTIF('公司'!$A$8:$A$207,B87)&lt;&gt;1,"编号缺失或重复",INDEX('公司'!$B$8:$B$207,MATCH(B87,'公司'!$A$8:$A$207,0))))</f>
        <v/>
      </c>
      <c r="D87" s="10" t="n"/>
      <c r="E87" s="10" t="n"/>
      <c r="F87" s="10" t="n"/>
      <c r="G87" s="32" t="n"/>
      <c r="H87" s="10" t="n"/>
      <c r="I87" s="10" t="n"/>
      <c r="J87" s="10" t="n"/>
      <c r="K87" s="10" t="n"/>
      <c r="L87" s="10" t="n"/>
      <c r="M87" s="10" t="n"/>
      <c r="N87" s="16">
        <f>IF(A87="","",IF(OR(COUNTIF($A$8:$A$207,A87)&lt;&gt;1,COUNTIF('公司'!$A$8:$A$207,B87)&lt;&gt;1),"检查编号或关联","正常"))</f>
        <v/>
      </c>
    </row>
    <row r="88" ht="34" customHeight="1">
      <c r="A88" s="32" t="n"/>
      <c r="B88" s="32" t="n"/>
      <c r="C88" s="16">
        <f>IF(B88="","",IF(COUNTIF('公司'!$A$8:$A$207,B88)&lt;&gt;1,"编号缺失或重复",INDEX('公司'!$B$8:$B$207,MATCH(B88,'公司'!$A$8:$A$207,0))))</f>
        <v/>
      </c>
      <c r="D88" s="10" t="n"/>
      <c r="E88" s="10" t="n"/>
      <c r="F88" s="10" t="n"/>
      <c r="G88" s="32" t="n"/>
      <c r="H88" s="10" t="n"/>
      <c r="I88" s="10" t="n"/>
      <c r="J88" s="10" t="n"/>
      <c r="K88" s="10" t="n"/>
      <c r="L88" s="10" t="n"/>
      <c r="M88" s="10" t="n"/>
      <c r="N88" s="16">
        <f>IF(A88="","",IF(OR(COUNTIF($A$8:$A$207,A88)&lt;&gt;1,COUNTIF('公司'!$A$8:$A$207,B88)&lt;&gt;1),"检查编号或关联","正常"))</f>
        <v/>
      </c>
    </row>
    <row r="89" ht="34" customHeight="1">
      <c r="A89" s="32" t="n"/>
      <c r="B89" s="32" t="n"/>
      <c r="C89" s="16">
        <f>IF(B89="","",IF(COUNTIF('公司'!$A$8:$A$207,B89)&lt;&gt;1,"编号缺失或重复",INDEX('公司'!$B$8:$B$207,MATCH(B89,'公司'!$A$8:$A$207,0))))</f>
        <v/>
      </c>
      <c r="D89" s="10" t="n"/>
      <c r="E89" s="10" t="n"/>
      <c r="F89" s="10" t="n"/>
      <c r="G89" s="32" t="n"/>
      <c r="H89" s="10" t="n"/>
      <c r="I89" s="10" t="n"/>
      <c r="J89" s="10" t="n"/>
      <c r="K89" s="10" t="n"/>
      <c r="L89" s="10" t="n"/>
      <c r="M89" s="10" t="n"/>
      <c r="N89" s="16">
        <f>IF(A89="","",IF(OR(COUNTIF($A$8:$A$207,A89)&lt;&gt;1,COUNTIF('公司'!$A$8:$A$207,B89)&lt;&gt;1),"检查编号或关联","正常"))</f>
        <v/>
      </c>
    </row>
    <row r="90" ht="34" customHeight="1">
      <c r="A90" s="32" t="n"/>
      <c r="B90" s="32" t="n"/>
      <c r="C90" s="16">
        <f>IF(B90="","",IF(COUNTIF('公司'!$A$8:$A$207,B90)&lt;&gt;1,"编号缺失或重复",INDEX('公司'!$B$8:$B$207,MATCH(B90,'公司'!$A$8:$A$207,0))))</f>
        <v/>
      </c>
      <c r="D90" s="10" t="n"/>
      <c r="E90" s="10" t="n"/>
      <c r="F90" s="10" t="n"/>
      <c r="G90" s="32" t="n"/>
      <c r="H90" s="10" t="n"/>
      <c r="I90" s="10" t="n"/>
      <c r="J90" s="10" t="n"/>
      <c r="K90" s="10" t="n"/>
      <c r="L90" s="10" t="n"/>
      <c r="M90" s="10" t="n"/>
      <c r="N90" s="16">
        <f>IF(A90="","",IF(OR(COUNTIF($A$8:$A$207,A90)&lt;&gt;1,COUNTIF('公司'!$A$8:$A$207,B90)&lt;&gt;1),"检查编号或关联","正常"))</f>
        <v/>
      </c>
    </row>
    <row r="91" ht="34" customHeight="1">
      <c r="A91" s="32" t="n"/>
      <c r="B91" s="32" t="n"/>
      <c r="C91" s="16">
        <f>IF(B91="","",IF(COUNTIF('公司'!$A$8:$A$207,B91)&lt;&gt;1,"编号缺失或重复",INDEX('公司'!$B$8:$B$207,MATCH(B91,'公司'!$A$8:$A$207,0))))</f>
        <v/>
      </c>
      <c r="D91" s="10" t="n"/>
      <c r="E91" s="10" t="n"/>
      <c r="F91" s="10" t="n"/>
      <c r="G91" s="32" t="n"/>
      <c r="H91" s="10" t="n"/>
      <c r="I91" s="10" t="n"/>
      <c r="J91" s="10" t="n"/>
      <c r="K91" s="10" t="n"/>
      <c r="L91" s="10" t="n"/>
      <c r="M91" s="10" t="n"/>
      <c r="N91" s="16">
        <f>IF(A91="","",IF(OR(COUNTIF($A$8:$A$207,A91)&lt;&gt;1,COUNTIF('公司'!$A$8:$A$207,B91)&lt;&gt;1),"检查编号或关联","正常"))</f>
        <v/>
      </c>
    </row>
    <row r="92" ht="34" customHeight="1">
      <c r="A92" s="32" t="n"/>
      <c r="B92" s="32" t="n"/>
      <c r="C92" s="16">
        <f>IF(B92="","",IF(COUNTIF('公司'!$A$8:$A$207,B92)&lt;&gt;1,"编号缺失或重复",INDEX('公司'!$B$8:$B$207,MATCH(B92,'公司'!$A$8:$A$207,0))))</f>
        <v/>
      </c>
      <c r="D92" s="10" t="n"/>
      <c r="E92" s="10" t="n"/>
      <c r="F92" s="10" t="n"/>
      <c r="G92" s="32" t="n"/>
      <c r="H92" s="10" t="n"/>
      <c r="I92" s="10" t="n"/>
      <c r="J92" s="10" t="n"/>
      <c r="K92" s="10" t="n"/>
      <c r="L92" s="10" t="n"/>
      <c r="M92" s="10" t="n"/>
      <c r="N92" s="16">
        <f>IF(A92="","",IF(OR(COUNTIF($A$8:$A$207,A92)&lt;&gt;1,COUNTIF('公司'!$A$8:$A$207,B92)&lt;&gt;1),"检查编号或关联","正常"))</f>
        <v/>
      </c>
    </row>
    <row r="93" ht="34" customHeight="1">
      <c r="A93" s="32" t="n"/>
      <c r="B93" s="32" t="n"/>
      <c r="C93" s="16">
        <f>IF(B93="","",IF(COUNTIF('公司'!$A$8:$A$207,B93)&lt;&gt;1,"编号缺失或重复",INDEX('公司'!$B$8:$B$207,MATCH(B93,'公司'!$A$8:$A$207,0))))</f>
        <v/>
      </c>
      <c r="D93" s="10" t="n"/>
      <c r="E93" s="10" t="n"/>
      <c r="F93" s="10" t="n"/>
      <c r="G93" s="32" t="n"/>
      <c r="H93" s="10" t="n"/>
      <c r="I93" s="10" t="n"/>
      <c r="J93" s="10" t="n"/>
      <c r="K93" s="10" t="n"/>
      <c r="L93" s="10" t="n"/>
      <c r="M93" s="10" t="n"/>
      <c r="N93" s="16">
        <f>IF(A93="","",IF(OR(COUNTIF($A$8:$A$207,A93)&lt;&gt;1,COUNTIF('公司'!$A$8:$A$207,B93)&lt;&gt;1),"检查编号或关联","正常"))</f>
        <v/>
      </c>
    </row>
    <row r="94" ht="34" customHeight="1">
      <c r="A94" s="32" t="n"/>
      <c r="B94" s="32" t="n"/>
      <c r="C94" s="16">
        <f>IF(B94="","",IF(COUNTIF('公司'!$A$8:$A$207,B94)&lt;&gt;1,"编号缺失或重复",INDEX('公司'!$B$8:$B$207,MATCH(B94,'公司'!$A$8:$A$207,0))))</f>
        <v/>
      </c>
      <c r="D94" s="10" t="n"/>
      <c r="E94" s="10" t="n"/>
      <c r="F94" s="10" t="n"/>
      <c r="G94" s="32" t="n"/>
      <c r="H94" s="10" t="n"/>
      <c r="I94" s="10" t="n"/>
      <c r="J94" s="10" t="n"/>
      <c r="K94" s="10" t="n"/>
      <c r="L94" s="10" t="n"/>
      <c r="M94" s="10" t="n"/>
      <c r="N94" s="16">
        <f>IF(A94="","",IF(OR(COUNTIF($A$8:$A$207,A94)&lt;&gt;1,COUNTIF('公司'!$A$8:$A$207,B94)&lt;&gt;1),"检查编号或关联","正常"))</f>
        <v/>
      </c>
    </row>
    <row r="95" ht="34" customHeight="1">
      <c r="A95" s="32" t="n"/>
      <c r="B95" s="32" t="n"/>
      <c r="C95" s="16">
        <f>IF(B95="","",IF(COUNTIF('公司'!$A$8:$A$207,B95)&lt;&gt;1,"编号缺失或重复",INDEX('公司'!$B$8:$B$207,MATCH(B95,'公司'!$A$8:$A$207,0))))</f>
        <v/>
      </c>
      <c r="D95" s="10" t="n"/>
      <c r="E95" s="10" t="n"/>
      <c r="F95" s="10" t="n"/>
      <c r="G95" s="32" t="n"/>
      <c r="H95" s="10" t="n"/>
      <c r="I95" s="10" t="n"/>
      <c r="J95" s="10" t="n"/>
      <c r="K95" s="10" t="n"/>
      <c r="L95" s="10" t="n"/>
      <c r="M95" s="10" t="n"/>
      <c r="N95" s="16">
        <f>IF(A95="","",IF(OR(COUNTIF($A$8:$A$207,A95)&lt;&gt;1,COUNTIF('公司'!$A$8:$A$207,B95)&lt;&gt;1),"检查编号或关联","正常"))</f>
        <v/>
      </c>
    </row>
    <row r="96" ht="34" customHeight="1">
      <c r="A96" s="32" t="n"/>
      <c r="B96" s="32" t="n"/>
      <c r="C96" s="16">
        <f>IF(B96="","",IF(COUNTIF('公司'!$A$8:$A$207,B96)&lt;&gt;1,"编号缺失或重复",INDEX('公司'!$B$8:$B$207,MATCH(B96,'公司'!$A$8:$A$207,0))))</f>
        <v/>
      </c>
      <c r="D96" s="10" t="n"/>
      <c r="E96" s="10" t="n"/>
      <c r="F96" s="10" t="n"/>
      <c r="G96" s="32" t="n"/>
      <c r="H96" s="10" t="n"/>
      <c r="I96" s="10" t="n"/>
      <c r="J96" s="10" t="n"/>
      <c r="K96" s="10" t="n"/>
      <c r="L96" s="10" t="n"/>
      <c r="M96" s="10" t="n"/>
      <c r="N96" s="16">
        <f>IF(A96="","",IF(OR(COUNTIF($A$8:$A$207,A96)&lt;&gt;1,COUNTIF('公司'!$A$8:$A$207,B96)&lt;&gt;1),"检查编号或关联","正常"))</f>
        <v/>
      </c>
    </row>
    <row r="97" ht="34" customHeight="1">
      <c r="A97" s="32" t="n"/>
      <c r="B97" s="32" t="n"/>
      <c r="C97" s="16">
        <f>IF(B97="","",IF(COUNTIF('公司'!$A$8:$A$207,B97)&lt;&gt;1,"编号缺失或重复",INDEX('公司'!$B$8:$B$207,MATCH(B97,'公司'!$A$8:$A$207,0))))</f>
        <v/>
      </c>
      <c r="D97" s="10" t="n"/>
      <c r="E97" s="10" t="n"/>
      <c r="F97" s="10" t="n"/>
      <c r="G97" s="32" t="n"/>
      <c r="H97" s="10" t="n"/>
      <c r="I97" s="10" t="n"/>
      <c r="J97" s="10" t="n"/>
      <c r="K97" s="10" t="n"/>
      <c r="L97" s="10" t="n"/>
      <c r="M97" s="10" t="n"/>
      <c r="N97" s="16">
        <f>IF(A97="","",IF(OR(COUNTIF($A$8:$A$207,A97)&lt;&gt;1,COUNTIF('公司'!$A$8:$A$207,B97)&lt;&gt;1),"检查编号或关联","正常"))</f>
        <v/>
      </c>
    </row>
    <row r="98" ht="34" customHeight="1">
      <c r="A98" s="32" t="n"/>
      <c r="B98" s="32" t="n"/>
      <c r="C98" s="16">
        <f>IF(B98="","",IF(COUNTIF('公司'!$A$8:$A$207,B98)&lt;&gt;1,"编号缺失或重复",INDEX('公司'!$B$8:$B$207,MATCH(B98,'公司'!$A$8:$A$207,0))))</f>
        <v/>
      </c>
      <c r="D98" s="10" t="n"/>
      <c r="E98" s="10" t="n"/>
      <c r="F98" s="10" t="n"/>
      <c r="G98" s="32" t="n"/>
      <c r="H98" s="10" t="n"/>
      <c r="I98" s="10" t="n"/>
      <c r="J98" s="10" t="n"/>
      <c r="K98" s="10" t="n"/>
      <c r="L98" s="10" t="n"/>
      <c r="M98" s="10" t="n"/>
      <c r="N98" s="16">
        <f>IF(A98="","",IF(OR(COUNTIF($A$8:$A$207,A98)&lt;&gt;1,COUNTIF('公司'!$A$8:$A$207,B98)&lt;&gt;1),"检查编号或关联","正常"))</f>
        <v/>
      </c>
    </row>
    <row r="99" ht="34" customHeight="1">
      <c r="A99" s="32" t="n"/>
      <c r="B99" s="32" t="n"/>
      <c r="C99" s="16">
        <f>IF(B99="","",IF(COUNTIF('公司'!$A$8:$A$207,B99)&lt;&gt;1,"编号缺失或重复",INDEX('公司'!$B$8:$B$207,MATCH(B99,'公司'!$A$8:$A$207,0))))</f>
        <v/>
      </c>
      <c r="D99" s="10" t="n"/>
      <c r="E99" s="10" t="n"/>
      <c r="F99" s="10" t="n"/>
      <c r="G99" s="32" t="n"/>
      <c r="H99" s="10" t="n"/>
      <c r="I99" s="10" t="n"/>
      <c r="J99" s="10" t="n"/>
      <c r="K99" s="10" t="n"/>
      <c r="L99" s="10" t="n"/>
      <c r="M99" s="10" t="n"/>
      <c r="N99" s="16">
        <f>IF(A99="","",IF(OR(COUNTIF($A$8:$A$207,A99)&lt;&gt;1,COUNTIF('公司'!$A$8:$A$207,B99)&lt;&gt;1),"检查编号或关联","正常"))</f>
        <v/>
      </c>
    </row>
    <row r="100" ht="34" customHeight="1">
      <c r="A100" s="32" t="n"/>
      <c r="B100" s="32" t="n"/>
      <c r="C100" s="16">
        <f>IF(B100="","",IF(COUNTIF('公司'!$A$8:$A$207,B100)&lt;&gt;1,"编号缺失或重复",INDEX('公司'!$B$8:$B$207,MATCH(B100,'公司'!$A$8:$A$207,0))))</f>
        <v/>
      </c>
      <c r="D100" s="10" t="n"/>
      <c r="E100" s="10" t="n"/>
      <c r="F100" s="10" t="n"/>
      <c r="G100" s="32" t="n"/>
      <c r="H100" s="10" t="n"/>
      <c r="I100" s="10" t="n"/>
      <c r="J100" s="10" t="n"/>
      <c r="K100" s="10" t="n"/>
      <c r="L100" s="10" t="n"/>
      <c r="M100" s="10" t="n"/>
      <c r="N100" s="16">
        <f>IF(A100="","",IF(OR(COUNTIF($A$8:$A$207,A100)&lt;&gt;1,COUNTIF('公司'!$A$8:$A$207,B100)&lt;&gt;1),"检查编号或关联","正常"))</f>
        <v/>
      </c>
    </row>
    <row r="101" ht="34" customHeight="1">
      <c r="A101" s="32" t="n"/>
      <c r="B101" s="32" t="n"/>
      <c r="C101" s="16">
        <f>IF(B101="","",IF(COUNTIF('公司'!$A$8:$A$207,B101)&lt;&gt;1,"编号缺失或重复",INDEX('公司'!$B$8:$B$207,MATCH(B101,'公司'!$A$8:$A$207,0))))</f>
        <v/>
      </c>
      <c r="D101" s="10" t="n"/>
      <c r="E101" s="10" t="n"/>
      <c r="F101" s="10" t="n"/>
      <c r="G101" s="32" t="n"/>
      <c r="H101" s="10" t="n"/>
      <c r="I101" s="10" t="n"/>
      <c r="J101" s="10" t="n"/>
      <c r="K101" s="10" t="n"/>
      <c r="L101" s="10" t="n"/>
      <c r="M101" s="10" t="n"/>
      <c r="N101" s="16">
        <f>IF(A101="","",IF(OR(COUNTIF($A$8:$A$207,A101)&lt;&gt;1,COUNTIF('公司'!$A$8:$A$207,B101)&lt;&gt;1),"检查编号或关联","正常"))</f>
        <v/>
      </c>
    </row>
    <row r="102" ht="34" customHeight="1">
      <c r="A102" s="32" t="n"/>
      <c r="B102" s="32" t="n"/>
      <c r="C102" s="16">
        <f>IF(B102="","",IF(COUNTIF('公司'!$A$8:$A$207,B102)&lt;&gt;1,"编号缺失或重复",INDEX('公司'!$B$8:$B$207,MATCH(B102,'公司'!$A$8:$A$207,0))))</f>
        <v/>
      </c>
      <c r="D102" s="10" t="n"/>
      <c r="E102" s="10" t="n"/>
      <c r="F102" s="10" t="n"/>
      <c r="G102" s="32" t="n"/>
      <c r="H102" s="10" t="n"/>
      <c r="I102" s="10" t="n"/>
      <c r="J102" s="10" t="n"/>
      <c r="K102" s="10" t="n"/>
      <c r="L102" s="10" t="n"/>
      <c r="M102" s="10" t="n"/>
      <c r="N102" s="16">
        <f>IF(A102="","",IF(OR(COUNTIF($A$8:$A$207,A102)&lt;&gt;1,COUNTIF('公司'!$A$8:$A$207,B102)&lt;&gt;1),"检查编号或关联","正常"))</f>
        <v/>
      </c>
    </row>
    <row r="103" ht="34" customHeight="1">
      <c r="A103" s="32" t="n"/>
      <c r="B103" s="32" t="n"/>
      <c r="C103" s="16">
        <f>IF(B103="","",IF(COUNTIF('公司'!$A$8:$A$207,B103)&lt;&gt;1,"编号缺失或重复",INDEX('公司'!$B$8:$B$207,MATCH(B103,'公司'!$A$8:$A$207,0))))</f>
        <v/>
      </c>
      <c r="D103" s="10" t="n"/>
      <c r="E103" s="10" t="n"/>
      <c r="F103" s="10" t="n"/>
      <c r="G103" s="32" t="n"/>
      <c r="H103" s="10" t="n"/>
      <c r="I103" s="10" t="n"/>
      <c r="J103" s="10" t="n"/>
      <c r="K103" s="10" t="n"/>
      <c r="L103" s="10" t="n"/>
      <c r="M103" s="10" t="n"/>
      <c r="N103" s="16">
        <f>IF(A103="","",IF(OR(COUNTIF($A$8:$A$207,A103)&lt;&gt;1,COUNTIF('公司'!$A$8:$A$207,B103)&lt;&gt;1),"检查编号或关联","正常"))</f>
        <v/>
      </c>
    </row>
    <row r="104" ht="34" customHeight="1">
      <c r="A104" s="32" t="n"/>
      <c r="B104" s="32" t="n"/>
      <c r="C104" s="16">
        <f>IF(B104="","",IF(COUNTIF('公司'!$A$8:$A$207,B104)&lt;&gt;1,"编号缺失或重复",INDEX('公司'!$B$8:$B$207,MATCH(B104,'公司'!$A$8:$A$207,0))))</f>
        <v/>
      </c>
      <c r="D104" s="10" t="n"/>
      <c r="E104" s="10" t="n"/>
      <c r="F104" s="10" t="n"/>
      <c r="G104" s="32" t="n"/>
      <c r="H104" s="10" t="n"/>
      <c r="I104" s="10" t="n"/>
      <c r="J104" s="10" t="n"/>
      <c r="K104" s="10" t="n"/>
      <c r="L104" s="10" t="n"/>
      <c r="M104" s="10" t="n"/>
      <c r="N104" s="16">
        <f>IF(A104="","",IF(OR(COUNTIF($A$8:$A$207,A104)&lt;&gt;1,COUNTIF('公司'!$A$8:$A$207,B104)&lt;&gt;1),"检查编号或关联","正常"))</f>
        <v/>
      </c>
    </row>
    <row r="105" ht="34" customHeight="1">
      <c r="A105" s="32" t="n"/>
      <c r="B105" s="32" t="n"/>
      <c r="C105" s="16">
        <f>IF(B105="","",IF(COUNTIF('公司'!$A$8:$A$207,B105)&lt;&gt;1,"编号缺失或重复",INDEX('公司'!$B$8:$B$207,MATCH(B105,'公司'!$A$8:$A$207,0))))</f>
        <v/>
      </c>
      <c r="D105" s="10" t="n"/>
      <c r="E105" s="10" t="n"/>
      <c r="F105" s="10" t="n"/>
      <c r="G105" s="32" t="n"/>
      <c r="H105" s="10" t="n"/>
      <c r="I105" s="10" t="n"/>
      <c r="J105" s="10" t="n"/>
      <c r="K105" s="10" t="n"/>
      <c r="L105" s="10" t="n"/>
      <c r="M105" s="10" t="n"/>
      <c r="N105" s="16">
        <f>IF(A105="","",IF(OR(COUNTIF($A$8:$A$207,A105)&lt;&gt;1,COUNTIF('公司'!$A$8:$A$207,B105)&lt;&gt;1),"检查编号或关联","正常"))</f>
        <v/>
      </c>
    </row>
    <row r="106" ht="34" customHeight="1">
      <c r="A106" s="32" t="n"/>
      <c r="B106" s="32" t="n"/>
      <c r="C106" s="16">
        <f>IF(B106="","",IF(COUNTIF('公司'!$A$8:$A$207,B106)&lt;&gt;1,"编号缺失或重复",INDEX('公司'!$B$8:$B$207,MATCH(B106,'公司'!$A$8:$A$207,0))))</f>
        <v/>
      </c>
      <c r="D106" s="10" t="n"/>
      <c r="E106" s="10" t="n"/>
      <c r="F106" s="10" t="n"/>
      <c r="G106" s="32" t="n"/>
      <c r="H106" s="10" t="n"/>
      <c r="I106" s="10" t="n"/>
      <c r="J106" s="10" t="n"/>
      <c r="K106" s="10" t="n"/>
      <c r="L106" s="10" t="n"/>
      <c r="M106" s="10" t="n"/>
      <c r="N106" s="16">
        <f>IF(A106="","",IF(OR(COUNTIF($A$8:$A$207,A106)&lt;&gt;1,COUNTIF('公司'!$A$8:$A$207,B106)&lt;&gt;1),"检查编号或关联","正常"))</f>
        <v/>
      </c>
    </row>
    <row r="107" ht="34" customHeight="1">
      <c r="A107" s="32" t="n"/>
      <c r="B107" s="32" t="n"/>
      <c r="C107" s="16">
        <f>IF(B107="","",IF(COUNTIF('公司'!$A$8:$A$207,B107)&lt;&gt;1,"编号缺失或重复",INDEX('公司'!$B$8:$B$207,MATCH(B107,'公司'!$A$8:$A$207,0))))</f>
        <v/>
      </c>
      <c r="D107" s="10" t="n"/>
      <c r="E107" s="10" t="n"/>
      <c r="F107" s="10" t="n"/>
      <c r="G107" s="32" t="n"/>
      <c r="H107" s="10" t="n"/>
      <c r="I107" s="10" t="n"/>
      <c r="J107" s="10" t="n"/>
      <c r="K107" s="10" t="n"/>
      <c r="L107" s="10" t="n"/>
      <c r="M107" s="10" t="n"/>
      <c r="N107" s="16">
        <f>IF(A107="","",IF(OR(COUNTIF($A$8:$A$207,A107)&lt;&gt;1,COUNTIF('公司'!$A$8:$A$207,B107)&lt;&gt;1),"检查编号或关联","正常"))</f>
        <v/>
      </c>
    </row>
    <row r="108" ht="34" customHeight="1">
      <c r="A108" s="32" t="n"/>
      <c r="B108" s="32" t="n"/>
      <c r="C108" s="16">
        <f>IF(B108="","",IF(COUNTIF('公司'!$A$8:$A$207,B108)&lt;&gt;1,"编号缺失或重复",INDEX('公司'!$B$8:$B$207,MATCH(B108,'公司'!$A$8:$A$207,0))))</f>
        <v/>
      </c>
      <c r="D108" s="10" t="n"/>
      <c r="E108" s="10" t="n"/>
      <c r="F108" s="10" t="n"/>
      <c r="G108" s="32" t="n"/>
      <c r="H108" s="10" t="n"/>
      <c r="I108" s="10" t="n"/>
      <c r="J108" s="10" t="n"/>
      <c r="K108" s="10" t="n"/>
      <c r="L108" s="10" t="n"/>
      <c r="M108" s="10" t="n"/>
      <c r="N108" s="16">
        <f>IF(A108="","",IF(OR(COUNTIF($A$8:$A$207,A108)&lt;&gt;1,COUNTIF('公司'!$A$8:$A$207,B108)&lt;&gt;1),"检查编号或关联","正常"))</f>
        <v/>
      </c>
    </row>
    <row r="109" ht="34" customHeight="1">
      <c r="A109" s="32" t="n"/>
      <c r="B109" s="32" t="n"/>
      <c r="C109" s="16">
        <f>IF(B109="","",IF(COUNTIF('公司'!$A$8:$A$207,B109)&lt;&gt;1,"编号缺失或重复",INDEX('公司'!$B$8:$B$207,MATCH(B109,'公司'!$A$8:$A$207,0))))</f>
        <v/>
      </c>
      <c r="D109" s="10" t="n"/>
      <c r="E109" s="10" t="n"/>
      <c r="F109" s="10" t="n"/>
      <c r="G109" s="32" t="n"/>
      <c r="H109" s="10" t="n"/>
      <c r="I109" s="10" t="n"/>
      <c r="J109" s="10" t="n"/>
      <c r="K109" s="10" t="n"/>
      <c r="L109" s="10" t="n"/>
      <c r="M109" s="10" t="n"/>
      <c r="N109" s="16">
        <f>IF(A109="","",IF(OR(COUNTIF($A$8:$A$207,A109)&lt;&gt;1,COUNTIF('公司'!$A$8:$A$207,B109)&lt;&gt;1),"检查编号或关联","正常"))</f>
        <v/>
      </c>
    </row>
    <row r="110" ht="34" customHeight="1">
      <c r="A110" s="32" t="n"/>
      <c r="B110" s="32" t="n"/>
      <c r="C110" s="16">
        <f>IF(B110="","",IF(COUNTIF('公司'!$A$8:$A$207,B110)&lt;&gt;1,"编号缺失或重复",INDEX('公司'!$B$8:$B$207,MATCH(B110,'公司'!$A$8:$A$207,0))))</f>
        <v/>
      </c>
      <c r="D110" s="10" t="n"/>
      <c r="E110" s="10" t="n"/>
      <c r="F110" s="10" t="n"/>
      <c r="G110" s="32" t="n"/>
      <c r="H110" s="10" t="n"/>
      <c r="I110" s="10" t="n"/>
      <c r="J110" s="10" t="n"/>
      <c r="K110" s="10" t="n"/>
      <c r="L110" s="10" t="n"/>
      <c r="M110" s="10" t="n"/>
      <c r="N110" s="16">
        <f>IF(A110="","",IF(OR(COUNTIF($A$8:$A$207,A110)&lt;&gt;1,COUNTIF('公司'!$A$8:$A$207,B110)&lt;&gt;1),"检查编号或关联","正常"))</f>
        <v/>
      </c>
    </row>
    <row r="111" ht="34" customHeight="1">
      <c r="A111" s="32" t="n"/>
      <c r="B111" s="32" t="n"/>
      <c r="C111" s="16">
        <f>IF(B111="","",IF(COUNTIF('公司'!$A$8:$A$207,B111)&lt;&gt;1,"编号缺失或重复",INDEX('公司'!$B$8:$B$207,MATCH(B111,'公司'!$A$8:$A$207,0))))</f>
        <v/>
      </c>
      <c r="D111" s="10" t="n"/>
      <c r="E111" s="10" t="n"/>
      <c r="F111" s="10" t="n"/>
      <c r="G111" s="32" t="n"/>
      <c r="H111" s="10" t="n"/>
      <c r="I111" s="10" t="n"/>
      <c r="J111" s="10" t="n"/>
      <c r="K111" s="10" t="n"/>
      <c r="L111" s="10" t="n"/>
      <c r="M111" s="10" t="n"/>
      <c r="N111" s="16">
        <f>IF(A111="","",IF(OR(COUNTIF($A$8:$A$207,A111)&lt;&gt;1,COUNTIF('公司'!$A$8:$A$207,B111)&lt;&gt;1),"检查编号或关联","正常"))</f>
        <v/>
      </c>
    </row>
    <row r="112" ht="34" customHeight="1">
      <c r="A112" s="32" t="n"/>
      <c r="B112" s="32" t="n"/>
      <c r="C112" s="16">
        <f>IF(B112="","",IF(COUNTIF('公司'!$A$8:$A$207,B112)&lt;&gt;1,"编号缺失或重复",INDEX('公司'!$B$8:$B$207,MATCH(B112,'公司'!$A$8:$A$207,0))))</f>
        <v/>
      </c>
      <c r="D112" s="10" t="n"/>
      <c r="E112" s="10" t="n"/>
      <c r="F112" s="10" t="n"/>
      <c r="G112" s="32" t="n"/>
      <c r="H112" s="10" t="n"/>
      <c r="I112" s="10" t="n"/>
      <c r="J112" s="10" t="n"/>
      <c r="K112" s="10" t="n"/>
      <c r="L112" s="10" t="n"/>
      <c r="M112" s="10" t="n"/>
      <c r="N112" s="16">
        <f>IF(A112="","",IF(OR(COUNTIF($A$8:$A$207,A112)&lt;&gt;1,COUNTIF('公司'!$A$8:$A$207,B112)&lt;&gt;1),"检查编号或关联","正常"))</f>
        <v/>
      </c>
    </row>
    <row r="113" ht="34" customHeight="1">
      <c r="A113" s="32" t="n"/>
      <c r="B113" s="32" t="n"/>
      <c r="C113" s="16">
        <f>IF(B113="","",IF(COUNTIF('公司'!$A$8:$A$207,B113)&lt;&gt;1,"编号缺失或重复",INDEX('公司'!$B$8:$B$207,MATCH(B113,'公司'!$A$8:$A$207,0))))</f>
        <v/>
      </c>
      <c r="D113" s="10" t="n"/>
      <c r="E113" s="10" t="n"/>
      <c r="F113" s="10" t="n"/>
      <c r="G113" s="32" t="n"/>
      <c r="H113" s="10" t="n"/>
      <c r="I113" s="10" t="n"/>
      <c r="J113" s="10" t="n"/>
      <c r="K113" s="10" t="n"/>
      <c r="L113" s="10" t="n"/>
      <c r="M113" s="10" t="n"/>
      <c r="N113" s="16">
        <f>IF(A113="","",IF(OR(COUNTIF($A$8:$A$207,A113)&lt;&gt;1,COUNTIF('公司'!$A$8:$A$207,B113)&lt;&gt;1),"检查编号或关联","正常"))</f>
        <v/>
      </c>
    </row>
    <row r="114" ht="34" customHeight="1">
      <c r="A114" s="32" t="n"/>
      <c r="B114" s="32" t="n"/>
      <c r="C114" s="16">
        <f>IF(B114="","",IF(COUNTIF('公司'!$A$8:$A$207,B114)&lt;&gt;1,"编号缺失或重复",INDEX('公司'!$B$8:$B$207,MATCH(B114,'公司'!$A$8:$A$207,0))))</f>
        <v/>
      </c>
      <c r="D114" s="10" t="n"/>
      <c r="E114" s="10" t="n"/>
      <c r="F114" s="10" t="n"/>
      <c r="G114" s="32" t="n"/>
      <c r="H114" s="10" t="n"/>
      <c r="I114" s="10" t="n"/>
      <c r="J114" s="10" t="n"/>
      <c r="K114" s="10" t="n"/>
      <c r="L114" s="10" t="n"/>
      <c r="M114" s="10" t="n"/>
      <c r="N114" s="16">
        <f>IF(A114="","",IF(OR(COUNTIF($A$8:$A$207,A114)&lt;&gt;1,COUNTIF('公司'!$A$8:$A$207,B114)&lt;&gt;1),"检查编号或关联","正常"))</f>
        <v/>
      </c>
    </row>
    <row r="115" ht="34" customHeight="1">
      <c r="A115" s="32" t="n"/>
      <c r="B115" s="32" t="n"/>
      <c r="C115" s="16">
        <f>IF(B115="","",IF(COUNTIF('公司'!$A$8:$A$207,B115)&lt;&gt;1,"编号缺失或重复",INDEX('公司'!$B$8:$B$207,MATCH(B115,'公司'!$A$8:$A$207,0))))</f>
        <v/>
      </c>
      <c r="D115" s="10" t="n"/>
      <c r="E115" s="10" t="n"/>
      <c r="F115" s="10" t="n"/>
      <c r="G115" s="32" t="n"/>
      <c r="H115" s="10" t="n"/>
      <c r="I115" s="10" t="n"/>
      <c r="J115" s="10" t="n"/>
      <c r="K115" s="10" t="n"/>
      <c r="L115" s="10" t="n"/>
      <c r="M115" s="10" t="n"/>
      <c r="N115" s="16">
        <f>IF(A115="","",IF(OR(COUNTIF($A$8:$A$207,A115)&lt;&gt;1,COUNTIF('公司'!$A$8:$A$207,B115)&lt;&gt;1),"检查编号或关联","正常"))</f>
        <v/>
      </c>
    </row>
    <row r="116" ht="34" customHeight="1">
      <c r="A116" s="32" t="n"/>
      <c r="B116" s="32" t="n"/>
      <c r="C116" s="16">
        <f>IF(B116="","",IF(COUNTIF('公司'!$A$8:$A$207,B116)&lt;&gt;1,"编号缺失或重复",INDEX('公司'!$B$8:$B$207,MATCH(B116,'公司'!$A$8:$A$207,0))))</f>
        <v/>
      </c>
      <c r="D116" s="10" t="n"/>
      <c r="E116" s="10" t="n"/>
      <c r="F116" s="10" t="n"/>
      <c r="G116" s="32" t="n"/>
      <c r="H116" s="10" t="n"/>
      <c r="I116" s="10" t="n"/>
      <c r="J116" s="10" t="n"/>
      <c r="K116" s="10" t="n"/>
      <c r="L116" s="10" t="n"/>
      <c r="M116" s="10" t="n"/>
      <c r="N116" s="16">
        <f>IF(A116="","",IF(OR(COUNTIF($A$8:$A$207,A116)&lt;&gt;1,COUNTIF('公司'!$A$8:$A$207,B116)&lt;&gt;1),"检查编号或关联","正常"))</f>
        <v/>
      </c>
    </row>
    <row r="117" ht="34" customHeight="1">
      <c r="A117" s="32" t="n"/>
      <c r="B117" s="32" t="n"/>
      <c r="C117" s="16">
        <f>IF(B117="","",IF(COUNTIF('公司'!$A$8:$A$207,B117)&lt;&gt;1,"编号缺失或重复",INDEX('公司'!$B$8:$B$207,MATCH(B117,'公司'!$A$8:$A$207,0))))</f>
        <v/>
      </c>
      <c r="D117" s="10" t="n"/>
      <c r="E117" s="10" t="n"/>
      <c r="F117" s="10" t="n"/>
      <c r="G117" s="32" t="n"/>
      <c r="H117" s="10" t="n"/>
      <c r="I117" s="10" t="n"/>
      <c r="J117" s="10" t="n"/>
      <c r="K117" s="10" t="n"/>
      <c r="L117" s="10" t="n"/>
      <c r="M117" s="10" t="n"/>
      <c r="N117" s="16">
        <f>IF(A117="","",IF(OR(COUNTIF($A$8:$A$207,A117)&lt;&gt;1,COUNTIF('公司'!$A$8:$A$207,B117)&lt;&gt;1),"检查编号或关联","正常"))</f>
        <v/>
      </c>
    </row>
    <row r="118" ht="34" customHeight="1">
      <c r="A118" s="32" t="n"/>
      <c r="B118" s="32" t="n"/>
      <c r="C118" s="16">
        <f>IF(B118="","",IF(COUNTIF('公司'!$A$8:$A$207,B118)&lt;&gt;1,"编号缺失或重复",INDEX('公司'!$B$8:$B$207,MATCH(B118,'公司'!$A$8:$A$207,0))))</f>
        <v/>
      </c>
      <c r="D118" s="10" t="n"/>
      <c r="E118" s="10" t="n"/>
      <c r="F118" s="10" t="n"/>
      <c r="G118" s="32" t="n"/>
      <c r="H118" s="10" t="n"/>
      <c r="I118" s="10" t="n"/>
      <c r="J118" s="10" t="n"/>
      <c r="K118" s="10" t="n"/>
      <c r="L118" s="10" t="n"/>
      <c r="M118" s="10" t="n"/>
      <c r="N118" s="16">
        <f>IF(A118="","",IF(OR(COUNTIF($A$8:$A$207,A118)&lt;&gt;1,COUNTIF('公司'!$A$8:$A$207,B118)&lt;&gt;1),"检查编号或关联","正常"))</f>
        <v/>
      </c>
    </row>
    <row r="119" ht="34" customHeight="1">
      <c r="A119" s="32" t="n"/>
      <c r="B119" s="32" t="n"/>
      <c r="C119" s="16">
        <f>IF(B119="","",IF(COUNTIF('公司'!$A$8:$A$207,B119)&lt;&gt;1,"编号缺失或重复",INDEX('公司'!$B$8:$B$207,MATCH(B119,'公司'!$A$8:$A$207,0))))</f>
        <v/>
      </c>
      <c r="D119" s="10" t="n"/>
      <c r="E119" s="10" t="n"/>
      <c r="F119" s="10" t="n"/>
      <c r="G119" s="32" t="n"/>
      <c r="H119" s="10" t="n"/>
      <c r="I119" s="10" t="n"/>
      <c r="J119" s="10" t="n"/>
      <c r="K119" s="10" t="n"/>
      <c r="L119" s="10" t="n"/>
      <c r="M119" s="10" t="n"/>
      <c r="N119" s="16">
        <f>IF(A119="","",IF(OR(COUNTIF($A$8:$A$207,A119)&lt;&gt;1,COUNTIF('公司'!$A$8:$A$207,B119)&lt;&gt;1),"检查编号或关联","正常"))</f>
        <v/>
      </c>
    </row>
    <row r="120" ht="34" customHeight="1">
      <c r="A120" s="32" t="n"/>
      <c r="B120" s="32" t="n"/>
      <c r="C120" s="16">
        <f>IF(B120="","",IF(COUNTIF('公司'!$A$8:$A$207,B120)&lt;&gt;1,"编号缺失或重复",INDEX('公司'!$B$8:$B$207,MATCH(B120,'公司'!$A$8:$A$207,0))))</f>
        <v/>
      </c>
      <c r="D120" s="10" t="n"/>
      <c r="E120" s="10" t="n"/>
      <c r="F120" s="10" t="n"/>
      <c r="G120" s="32" t="n"/>
      <c r="H120" s="10" t="n"/>
      <c r="I120" s="10" t="n"/>
      <c r="J120" s="10" t="n"/>
      <c r="K120" s="10" t="n"/>
      <c r="L120" s="10" t="n"/>
      <c r="M120" s="10" t="n"/>
      <c r="N120" s="16">
        <f>IF(A120="","",IF(OR(COUNTIF($A$8:$A$207,A120)&lt;&gt;1,COUNTIF('公司'!$A$8:$A$207,B120)&lt;&gt;1),"检查编号或关联","正常"))</f>
        <v/>
      </c>
    </row>
    <row r="121" ht="34" customHeight="1">
      <c r="A121" s="32" t="n"/>
      <c r="B121" s="32" t="n"/>
      <c r="C121" s="16">
        <f>IF(B121="","",IF(COUNTIF('公司'!$A$8:$A$207,B121)&lt;&gt;1,"编号缺失或重复",INDEX('公司'!$B$8:$B$207,MATCH(B121,'公司'!$A$8:$A$207,0))))</f>
        <v/>
      </c>
      <c r="D121" s="10" t="n"/>
      <c r="E121" s="10" t="n"/>
      <c r="F121" s="10" t="n"/>
      <c r="G121" s="32" t="n"/>
      <c r="H121" s="10" t="n"/>
      <c r="I121" s="10" t="n"/>
      <c r="J121" s="10" t="n"/>
      <c r="K121" s="10" t="n"/>
      <c r="L121" s="10" t="n"/>
      <c r="M121" s="10" t="n"/>
      <c r="N121" s="16">
        <f>IF(A121="","",IF(OR(COUNTIF($A$8:$A$207,A121)&lt;&gt;1,COUNTIF('公司'!$A$8:$A$207,B121)&lt;&gt;1),"检查编号或关联","正常"))</f>
        <v/>
      </c>
    </row>
    <row r="122" ht="34" customHeight="1">
      <c r="A122" s="32" t="n"/>
      <c r="B122" s="32" t="n"/>
      <c r="C122" s="16">
        <f>IF(B122="","",IF(COUNTIF('公司'!$A$8:$A$207,B122)&lt;&gt;1,"编号缺失或重复",INDEX('公司'!$B$8:$B$207,MATCH(B122,'公司'!$A$8:$A$207,0))))</f>
        <v/>
      </c>
      <c r="D122" s="10" t="n"/>
      <c r="E122" s="10" t="n"/>
      <c r="F122" s="10" t="n"/>
      <c r="G122" s="32" t="n"/>
      <c r="H122" s="10" t="n"/>
      <c r="I122" s="10" t="n"/>
      <c r="J122" s="10" t="n"/>
      <c r="K122" s="10" t="n"/>
      <c r="L122" s="10" t="n"/>
      <c r="M122" s="10" t="n"/>
      <c r="N122" s="16">
        <f>IF(A122="","",IF(OR(COUNTIF($A$8:$A$207,A122)&lt;&gt;1,COUNTIF('公司'!$A$8:$A$207,B122)&lt;&gt;1),"检查编号或关联","正常"))</f>
        <v/>
      </c>
    </row>
    <row r="123" ht="34" customHeight="1">
      <c r="A123" s="32" t="n"/>
      <c r="B123" s="32" t="n"/>
      <c r="C123" s="16">
        <f>IF(B123="","",IF(COUNTIF('公司'!$A$8:$A$207,B123)&lt;&gt;1,"编号缺失或重复",INDEX('公司'!$B$8:$B$207,MATCH(B123,'公司'!$A$8:$A$207,0))))</f>
        <v/>
      </c>
      <c r="D123" s="10" t="n"/>
      <c r="E123" s="10" t="n"/>
      <c r="F123" s="10" t="n"/>
      <c r="G123" s="32" t="n"/>
      <c r="H123" s="10" t="n"/>
      <c r="I123" s="10" t="n"/>
      <c r="J123" s="10" t="n"/>
      <c r="K123" s="10" t="n"/>
      <c r="L123" s="10" t="n"/>
      <c r="M123" s="10" t="n"/>
      <c r="N123" s="16">
        <f>IF(A123="","",IF(OR(COUNTIF($A$8:$A$207,A123)&lt;&gt;1,COUNTIF('公司'!$A$8:$A$207,B123)&lt;&gt;1),"检查编号或关联","正常"))</f>
        <v/>
      </c>
    </row>
    <row r="124" ht="34" customHeight="1">
      <c r="A124" s="32" t="n"/>
      <c r="B124" s="32" t="n"/>
      <c r="C124" s="16">
        <f>IF(B124="","",IF(COUNTIF('公司'!$A$8:$A$207,B124)&lt;&gt;1,"编号缺失或重复",INDEX('公司'!$B$8:$B$207,MATCH(B124,'公司'!$A$8:$A$207,0))))</f>
        <v/>
      </c>
      <c r="D124" s="10" t="n"/>
      <c r="E124" s="10" t="n"/>
      <c r="F124" s="10" t="n"/>
      <c r="G124" s="32" t="n"/>
      <c r="H124" s="10" t="n"/>
      <c r="I124" s="10" t="n"/>
      <c r="J124" s="10" t="n"/>
      <c r="K124" s="10" t="n"/>
      <c r="L124" s="10" t="n"/>
      <c r="M124" s="10" t="n"/>
      <c r="N124" s="16">
        <f>IF(A124="","",IF(OR(COUNTIF($A$8:$A$207,A124)&lt;&gt;1,COUNTIF('公司'!$A$8:$A$207,B124)&lt;&gt;1),"检查编号或关联","正常"))</f>
        <v/>
      </c>
    </row>
    <row r="125" ht="34" customHeight="1">
      <c r="A125" s="32" t="n"/>
      <c r="B125" s="32" t="n"/>
      <c r="C125" s="16">
        <f>IF(B125="","",IF(COUNTIF('公司'!$A$8:$A$207,B125)&lt;&gt;1,"编号缺失或重复",INDEX('公司'!$B$8:$B$207,MATCH(B125,'公司'!$A$8:$A$207,0))))</f>
        <v/>
      </c>
      <c r="D125" s="10" t="n"/>
      <c r="E125" s="10" t="n"/>
      <c r="F125" s="10" t="n"/>
      <c r="G125" s="32" t="n"/>
      <c r="H125" s="10" t="n"/>
      <c r="I125" s="10" t="n"/>
      <c r="J125" s="10" t="n"/>
      <c r="K125" s="10" t="n"/>
      <c r="L125" s="10" t="n"/>
      <c r="M125" s="10" t="n"/>
      <c r="N125" s="16">
        <f>IF(A125="","",IF(OR(COUNTIF($A$8:$A$207,A125)&lt;&gt;1,COUNTIF('公司'!$A$8:$A$207,B125)&lt;&gt;1),"检查编号或关联","正常"))</f>
        <v/>
      </c>
    </row>
    <row r="126" ht="34" customHeight="1">
      <c r="A126" s="32" t="n"/>
      <c r="B126" s="32" t="n"/>
      <c r="C126" s="16">
        <f>IF(B126="","",IF(COUNTIF('公司'!$A$8:$A$207,B126)&lt;&gt;1,"编号缺失或重复",INDEX('公司'!$B$8:$B$207,MATCH(B126,'公司'!$A$8:$A$207,0))))</f>
        <v/>
      </c>
      <c r="D126" s="10" t="n"/>
      <c r="E126" s="10" t="n"/>
      <c r="F126" s="10" t="n"/>
      <c r="G126" s="32" t="n"/>
      <c r="H126" s="10" t="n"/>
      <c r="I126" s="10" t="n"/>
      <c r="J126" s="10" t="n"/>
      <c r="K126" s="10" t="n"/>
      <c r="L126" s="10" t="n"/>
      <c r="M126" s="10" t="n"/>
      <c r="N126" s="16">
        <f>IF(A126="","",IF(OR(COUNTIF($A$8:$A$207,A126)&lt;&gt;1,COUNTIF('公司'!$A$8:$A$207,B126)&lt;&gt;1),"检查编号或关联","正常"))</f>
        <v/>
      </c>
    </row>
    <row r="127" ht="34" customHeight="1">
      <c r="A127" s="32" t="n"/>
      <c r="B127" s="32" t="n"/>
      <c r="C127" s="16">
        <f>IF(B127="","",IF(COUNTIF('公司'!$A$8:$A$207,B127)&lt;&gt;1,"编号缺失或重复",INDEX('公司'!$B$8:$B$207,MATCH(B127,'公司'!$A$8:$A$207,0))))</f>
        <v/>
      </c>
      <c r="D127" s="10" t="n"/>
      <c r="E127" s="10" t="n"/>
      <c r="F127" s="10" t="n"/>
      <c r="G127" s="32" t="n"/>
      <c r="H127" s="10" t="n"/>
      <c r="I127" s="10" t="n"/>
      <c r="J127" s="10" t="n"/>
      <c r="K127" s="10" t="n"/>
      <c r="L127" s="10" t="n"/>
      <c r="M127" s="10" t="n"/>
      <c r="N127" s="16">
        <f>IF(A127="","",IF(OR(COUNTIF($A$8:$A$207,A127)&lt;&gt;1,COUNTIF('公司'!$A$8:$A$207,B127)&lt;&gt;1),"检查编号或关联","正常"))</f>
        <v/>
      </c>
    </row>
    <row r="128" ht="34" customHeight="1">
      <c r="A128" s="32" t="n"/>
      <c r="B128" s="32" t="n"/>
      <c r="C128" s="16">
        <f>IF(B128="","",IF(COUNTIF('公司'!$A$8:$A$207,B128)&lt;&gt;1,"编号缺失或重复",INDEX('公司'!$B$8:$B$207,MATCH(B128,'公司'!$A$8:$A$207,0))))</f>
        <v/>
      </c>
      <c r="D128" s="10" t="n"/>
      <c r="E128" s="10" t="n"/>
      <c r="F128" s="10" t="n"/>
      <c r="G128" s="32" t="n"/>
      <c r="H128" s="10" t="n"/>
      <c r="I128" s="10" t="n"/>
      <c r="J128" s="10" t="n"/>
      <c r="K128" s="10" t="n"/>
      <c r="L128" s="10" t="n"/>
      <c r="M128" s="10" t="n"/>
      <c r="N128" s="16">
        <f>IF(A128="","",IF(OR(COUNTIF($A$8:$A$207,A128)&lt;&gt;1,COUNTIF('公司'!$A$8:$A$207,B128)&lt;&gt;1),"检查编号或关联","正常"))</f>
        <v/>
      </c>
    </row>
    <row r="129" ht="34" customHeight="1">
      <c r="A129" s="32" t="n"/>
      <c r="B129" s="32" t="n"/>
      <c r="C129" s="16">
        <f>IF(B129="","",IF(COUNTIF('公司'!$A$8:$A$207,B129)&lt;&gt;1,"编号缺失或重复",INDEX('公司'!$B$8:$B$207,MATCH(B129,'公司'!$A$8:$A$207,0))))</f>
        <v/>
      </c>
      <c r="D129" s="10" t="n"/>
      <c r="E129" s="10" t="n"/>
      <c r="F129" s="10" t="n"/>
      <c r="G129" s="32" t="n"/>
      <c r="H129" s="10" t="n"/>
      <c r="I129" s="10" t="n"/>
      <c r="J129" s="10" t="n"/>
      <c r="K129" s="10" t="n"/>
      <c r="L129" s="10" t="n"/>
      <c r="M129" s="10" t="n"/>
      <c r="N129" s="16">
        <f>IF(A129="","",IF(OR(COUNTIF($A$8:$A$207,A129)&lt;&gt;1,COUNTIF('公司'!$A$8:$A$207,B129)&lt;&gt;1),"检查编号或关联","正常"))</f>
        <v/>
      </c>
    </row>
    <row r="130" ht="34" customHeight="1">
      <c r="A130" s="32" t="n"/>
      <c r="B130" s="32" t="n"/>
      <c r="C130" s="16">
        <f>IF(B130="","",IF(COUNTIF('公司'!$A$8:$A$207,B130)&lt;&gt;1,"编号缺失或重复",INDEX('公司'!$B$8:$B$207,MATCH(B130,'公司'!$A$8:$A$207,0))))</f>
        <v/>
      </c>
      <c r="D130" s="10" t="n"/>
      <c r="E130" s="10" t="n"/>
      <c r="F130" s="10" t="n"/>
      <c r="G130" s="32" t="n"/>
      <c r="H130" s="10" t="n"/>
      <c r="I130" s="10" t="n"/>
      <c r="J130" s="10" t="n"/>
      <c r="K130" s="10" t="n"/>
      <c r="L130" s="10" t="n"/>
      <c r="M130" s="10" t="n"/>
      <c r="N130" s="16">
        <f>IF(A130="","",IF(OR(COUNTIF($A$8:$A$207,A130)&lt;&gt;1,COUNTIF('公司'!$A$8:$A$207,B130)&lt;&gt;1),"检查编号或关联","正常"))</f>
        <v/>
      </c>
    </row>
    <row r="131" ht="34" customHeight="1">
      <c r="A131" s="32" t="n"/>
      <c r="B131" s="32" t="n"/>
      <c r="C131" s="16">
        <f>IF(B131="","",IF(COUNTIF('公司'!$A$8:$A$207,B131)&lt;&gt;1,"编号缺失或重复",INDEX('公司'!$B$8:$B$207,MATCH(B131,'公司'!$A$8:$A$207,0))))</f>
        <v/>
      </c>
      <c r="D131" s="10" t="n"/>
      <c r="E131" s="10" t="n"/>
      <c r="F131" s="10" t="n"/>
      <c r="G131" s="32" t="n"/>
      <c r="H131" s="10" t="n"/>
      <c r="I131" s="10" t="n"/>
      <c r="J131" s="10" t="n"/>
      <c r="K131" s="10" t="n"/>
      <c r="L131" s="10" t="n"/>
      <c r="M131" s="10" t="n"/>
      <c r="N131" s="16">
        <f>IF(A131="","",IF(OR(COUNTIF($A$8:$A$207,A131)&lt;&gt;1,COUNTIF('公司'!$A$8:$A$207,B131)&lt;&gt;1),"检查编号或关联","正常"))</f>
        <v/>
      </c>
    </row>
    <row r="132" ht="34" customHeight="1">
      <c r="A132" s="32" t="n"/>
      <c r="B132" s="32" t="n"/>
      <c r="C132" s="16">
        <f>IF(B132="","",IF(COUNTIF('公司'!$A$8:$A$207,B132)&lt;&gt;1,"编号缺失或重复",INDEX('公司'!$B$8:$B$207,MATCH(B132,'公司'!$A$8:$A$207,0))))</f>
        <v/>
      </c>
      <c r="D132" s="10" t="n"/>
      <c r="E132" s="10" t="n"/>
      <c r="F132" s="10" t="n"/>
      <c r="G132" s="32" t="n"/>
      <c r="H132" s="10" t="n"/>
      <c r="I132" s="10" t="n"/>
      <c r="J132" s="10" t="n"/>
      <c r="K132" s="10" t="n"/>
      <c r="L132" s="10" t="n"/>
      <c r="M132" s="10" t="n"/>
      <c r="N132" s="16">
        <f>IF(A132="","",IF(OR(COUNTIF($A$8:$A$207,A132)&lt;&gt;1,COUNTIF('公司'!$A$8:$A$207,B132)&lt;&gt;1),"检查编号或关联","正常"))</f>
        <v/>
      </c>
    </row>
    <row r="133" ht="34" customHeight="1">
      <c r="A133" s="32" t="n"/>
      <c r="B133" s="32" t="n"/>
      <c r="C133" s="16">
        <f>IF(B133="","",IF(COUNTIF('公司'!$A$8:$A$207,B133)&lt;&gt;1,"编号缺失或重复",INDEX('公司'!$B$8:$B$207,MATCH(B133,'公司'!$A$8:$A$207,0))))</f>
        <v/>
      </c>
      <c r="D133" s="10" t="n"/>
      <c r="E133" s="10" t="n"/>
      <c r="F133" s="10" t="n"/>
      <c r="G133" s="32" t="n"/>
      <c r="H133" s="10" t="n"/>
      <c r="I133" s="10" t="n"/>
      <c r="J133" s="10" t="n"/>
      <c r="K133" s="10" t="n"/>
      <c r="L133" s="10" t="n"/>
      <c r="M133" s="10" t="n"/>
      <c r="N133" s="16">
        <f>IF(A133="","",IF(OR(COUNTIF($A$8:$A$207,A133)&lt;&gt;1,COUNTIF('公司'!$A$8:$A$207,B133)&lt;&gt;1),"检查编号或关联","正常"))</f>
        <v/>
      </c>
    </row>
    <row r="134" ht="34" customHeight="1">
      <c r="A134" s="32" t="n"/>
      <c r="B134" s="32" t="n"/>
      <c r="C134" s="16">
        <f>IF(B134="","",IF(COUNTIF('公司'!$A$8:$A$207,B134)&lt;&gt;1,"编号缺失或重复",INDEX('公司'!$B$8:$B$207,MATCH(B134,'公司'!$A$8:$A$207,0))))</f>
        <v/>
      </c>
      <c r="D134" s="10" t="n"/>
      <c r="E134" s="10" t="n"/>
      <c r="F134" s="10" t="n"/>
      <c r="G134" s="32" t="n"/>
      <c r="H134" s="10" t="n"/>
      <c r="I134" s="10" t="n"/>
      <c r="J134" s="10" t="n"/>
      <c r="K134" s="10" t="n"/>
      <c r="L134" s="10" t="n"/>
      <c r="M134" s="10" t="n"/>
      <c r="N134" s="16">
        <f>IF(A134="","",IF(OR(COUNTIF($A$8:$A$207,A134)&lt;&gt;1,COUNTIF('公司'!$A$8:$A$207,B134)&lt;&gt;1),"检查编号或关联","正常"))</f>
        <v/>
      </c>
    </row>
    <row r="135" ht="34" customHeight="1">
      <c r="A135" s="32" t="n"/>
      <c r="B135" s="32" t="n"/>
      <c r="C135" s="16">
        <f>IF(B135="","",IF(COUNTIF('公司'!$A$8:$A$207,B135)&lt;&gt;1,"编号缺失或重复",INDEX('公司'!$B$8:$B$207,MATCH(B135,'公司'!$A$8:$A$207,0))))</f>
        <v/>
      </c>
      <c r="D135" s="10" t="n"/>
      <c r="E135" s="10" t="n"/>
      <c r="F135" s="10" t="n"/>
      <c r="G135" s="32" t="n"/>
      <c r="H135" s="10" t="n"/>
      <c r="I135" s="10" t="n"/>
      <c r="J135" s="10" t="n"/>
      <c r="K135" s="10" t="n"/>
      <c r="L135" s="10" t="n"/>
      <c r="M135" s="10" t="n"/>
      <c r="N135" s="16">
        <f>IF(A135="","",IF(OR(COUNTIF($A$8:$A$207,A135)&lt;&gt;1,COUNTIF('公司'!$A$8:$A$207,B135)&lt;&gt;1),"检查编号或关联","正常"))</f>
        <v/>
      </c>
    </row>
    <row r="136" ht="34" customHeight="1">
      <c r="A136" s="32" t="n"/>
      <c r="B136" s="32" t="n"/>
      <c r="C136" s="16">
        <f>IF(B136="","",IF(COUNTIF('公司'!$A$8:$A$207,B136)&lt;&gt;1,"编号缺失或重复",INDEX('公司'!$B$8:$B$207,MATCH(B136,'公司'!$A$8:$A$207,0))))</f>
        <v/>
      </c>
      <c r="D136" s="10" t="n"/>
      <c r="E136" s="10" t="n"/>
      <c r="F136" s="10" t="n"/>
      <c r="G136" s="32" t="n"/>
      <c r="H136" s="10" t="n"/>
      <c r="I136" s="10" t="n"/>
      <c r="J136" s="10" t="n"/>
      <c r="K136" s="10" t="n"/>
      <c r="L136" s="10" t="n"/>
      <c r="M136" s="10" t="n"/>
      <c r="N136" s="16">
        <f>IF(A136="","",IF(OR(COUNTIF($A$8:$A$207,A136)&lt;&gt;1,COUNTIF('公司'!$A$8:$A$207,B136)&lt;&gt;1),"检查编号或关联","正常"))</f>
        <v/>
      </c>
    </row>
    <row r="137" ht="34" customHeight="1">
      <c r="A137" s="32" t="n"/>
      <c r="B137" s="32" t="n"/>
      <c r="C137" s="16">
        <f>IF(B137="","",IF(COUNTIF('公司'!$A$8:$A$207,B137)&lt;&gt;1,"编号缺失或重复",INDEX('公司'!$B$8:$B$207,MATCH(B137,'公司'!$A$8:$A$207,0))))</f>
        <v/>
      </c>
      <c r="D137" s="10" t="n"/>
      <c r="E137" s="10" t="n"/>
      <c r="F137" s="10" t="n"/>
      <c r="G137" s="32" t="n"/>
      <c r="H137" s="10" t="n"/>
      <c r="I137" s="10" t="n"/>
      <c r="J137" s="10" t="n"/>
      <c r="K137" s="10" t="n"/>
      <c r="L137" s="10" t="n"/>
      <c r="M137" s="10" t="n"/>
      <c r="N137" s="16">
        <f>IF(A137="","",IF(OR(COUNTIF($A$8:$A$207,A137)&lt;&gt;1,COUNTIF('公司'!$A$8:$A$207,B137)&lt;&gt;1),"检查编号或关联","正常"))</f>
        <v/>
      </c>
    </row>
    <row r="138" ht="34" customHeight="1">
      <c r="A138" s="32" t="n"/>
      <c r="B138" s="32" t="n"/>
      <c r="C138" s="16">
        <f>IF(B138="","",IF(COUNTIF('公司'!$A$8:$A$207,B138)&lt;&gt;1,"编号缺失或重复",INDEX('公司'!$B$8:$B$207,MATCH(B138,'公司'!$A$8:$A$207,0))))</f>
        <v/>
      </c>
      <c r="D138" s="10" t="n"/>
      <c r="E138" s="10" t="n"/>
      <c r="F138" s="10" t="n"/>
      <c r="G138" s="32" t="n"/>
      <c r="H138" s="10" t="n"/>
      <c r="I138" s="10" t="n"/>
      <c r="J138" s="10" t="n"/>
      <c r="K138" s="10" t="n"/>
      <c r="L138" s="10" t="n"/>
      <c r="M138" s="10" t="n"/>
      <c r="N138" s="16">
        <f>IF(A138="","",IF(OR(COUNTIF($A$8:$A$207,A138)&lt;&gt;1,COUNTIF('公司'!$A$8:$A$207,B138)&lt;&gt;1),"检查编号或关联","正常"))</f>
        <v/>
      </c>
    </row>
    <row r="139" ht="34" customHeight="1">
      <c r="A139" s="32" t="n"/>
      <c r="B139" s="32" t="n"/>
      <c r="C139" s="16">
        <f>IF(B139="","",IF(COUNTIF('公司'!$A$8:$A$207,B139)&lt;&gt;1,"编号缺失或重复",INDEX('公司'!$B$8:$B$207,MATCH(B139,'公司'!$A$8:$A$207,0))))</f>
        <v/>
      </c>
      <c r="D139" s="10" t="n"/>
      <c r="E139" s="10" t="n"/>
      <c r="F139" s="10" t="n"/>
      <c r="G139" s="32" t="n"/>
      <c r="H139" s="10" t="n"/>
      <c r="I139" s="10" t="n"/>
      <c r="J139" s="10" t="n"/>
      <c r="K139" s="10" t="n"/>
      <c r="L139" s="10" t="n"/>
      <c r="M139" s="10" t="n"/>
      <c r="N139" s="16">
        <f>IF(A139="","",IF(OR(COUNTIF($A$8:$A$207,A139)&lt;&gt;1,COUNTIF('公司'!$A$8:$A$207,B139)&lt;&gt;1),"检查编号或关联","正常"))</f>
        <v/>
      </c>
    </row>
    <row r="140" ht="34" customHeight="1">
      <c r="A140" s="32" t="n"/>
      <c r="B140" s="32" t="n"/>
      <c r="C140" s="16">
        <f>IF(B140="","",IF(COUNTIF('公司'!$A$8:$A$207,B140)&lt;&gt;1,"编号缺失或重复",INDEX('公司'!$B$8:$B$207,MATCH(B140,'公司'!$A$8:$A$207,0))))</f>
        <v/>
      </c>
      <c r="D140" s="10" t="n"/>
      <c r="E140" s="10" t="n"/>
      <c r="F140" s="10" t="n"/>
      <c r="G140" s="32" t="n"/>
      <c r="H140" s="10" t="n"/>
      <c r="I140" s="10" t="n"/>
      <c r="J140" s="10" t="n"/>
      <c r="K140" s="10" t="n"/>
      <c r="L140" s="10" t="n"/>
      <c r="M140" s="10" t="n"/>
      <c r="N140" s="16">
        <f>IF(A140="","",IF(OR(COUNTIF($A$8:$A$207,A140)&lt;&gt;1,COUNTIF('公司'!$A$8:$A$207,B140)&lt;&gt;1),"检查编号或关联","正常"))</f>
        <v/>
      </c>
    </row>
    <row r="141" ht="34" customHeight="1">
      <c r="A141" s="32" t="n"/>
      <c r="B141" s="32" t="n"/>
      <c r="C141" s="16">
        <f>IF(B141="","",IF(COUNTIF('公司'!$A$8:$A$207,B141)&lt;&gt;1,"编号缺失或重复",INDEX('公司'!$B$8:$B$207,MATCH(B141,'公司'!$A$8:$A$207,0))))</f>
        <v/>
      </c>
      <c r="D141" s="10" t="n"/>
      <c r="E141" s="10" t="n"/>
      <c r="F141" s="10" t="n"/>
      <c r="G141" s="32" t="n"/>
      <c r="H141" s="10" t="n"/>
      <c r="I141" s="10" t="n"/>
      <c r="J141" s="10" t="n"/>
      <c r="K141" s="10" t="n"/>
      <c r="L141" s="10" t="n"/>
      <c r="M141" s="10" t="n"/>
      <c r="N141" s="16">
        <f>IF(A141="","",IF(OR(COUNTIF($A$8:$A$207,A141)&lt;&gt;1,COUNTIF('公司'!$A$8:$A$207,B141)&lt;&gt;1),"检查编号或关联","正常"))</f>
        <v/>
      </c>
    </row>
    <row r="142" ht="34" customHeight="1">
      <c r="A142" s="32" t="n"/>
      <c r="B142" s="32" t="n"/>
      <c r="C142" s="16">
        <f>IF(B142="","",IF(COUNTIF('公司'!$A$8:$A$207,B142)&lt;&gt;1,"编号缺失或重复",INDEX('公司'!$B$8:$B$207,MATCH(B142,'公司'!$A$8:$A$207,0))))</f>
        <v/>
      </c>
      <c r="D142" s="10" t="n"/>
      <c r="E142" s="10" t="n"/>
      <c r="F142" s="10" t="n"/>
      <c r="G142" s="32" t="n"/>
      <c r="H142" s="10" t="n"/>
      <c r="I142" s="10" t="n"/>
      <c r="J142" s="10" t="n"/>
      <c r="K142" s="10" t="n"/>
      <c r="L142" s="10" t="n"/>
      <c r="M142" s="10" t="n"/>
      <c r="N142" s="16">
        <f>IF(A142="","",IF(OR(COUNTIF($A$8:$A$207,A142)&lt;&gt;1,COUNTIF('公司'!$A$8:$A$207,B142)&lt;&gt;1),"检查编号或关联","正常"))</f>
        <v/>
      </c>
    </row>
    <row r="143" ht="34" customHeight="1">
      <c r="A143" s="32" t="n"/>
      <c r="B143" s="32" t="n"/>
      <c r="C143" s="16">
        <f>IF(B143="","",IF(COUNTIF('公司'!$A$8:$A$207,B143)&lt;&gt;1,"编号缺失或重复",INDEX('公司'!$B$8:$B$207,MATCH(B143,'公司'!$A$8:$A$207,0))))</f>
        <v/>
      </c>
      <c r="D143" s="10" t="n"/>
      <c r="E143" s="10" t="n"/>
      <c r="F143" s="10" t="n"/>
      <c r="G143" s="32" t="n"/>
      <c r="H143" s="10" t="n"/>
      <c r="I143" s="10" t="n"/>
      <c r="J143" s="10" t="n"/>
      <c r="K143" s="10" t="n"/>
      <c r="L143" s="10" t="n"/>
      <c r="M143" s="10" t="n"/>
      <c r="N143" s="16">
        <f>IF(A143="","",IF(OR(COUNTIF($A$8:$A$207,A143)&lt;&gt;1,COUNTIF('公司'!$A$8:$A$207,B143)&lt;&gt;1),"检查编号或关联","正常"))</f>
        <v/>
      </c>
    </row>
    <row r="144" ht="34" customHeight="1">
      <c r="A144" s="32" t="n"/>
      <c r="B144" s="32" t="n"/>
      <c r="C144" s="16">
        <f>IF(B144="","",IF(COUNTIF('公司'!$A$8:$A$207,B144)&lt;&gt;1,"编号缺失或重复",INDEX('公司'!$B$8:$B$207,MATCH(B144,'公司'!$A$8:$A$207,0))))</f>
        <v/>
      </c>
      <c r="D144" s="10" t="n"/>
      <c r="E144" s="10" t="n"/>
      <c r="F144" s="10" t="n"/>
      <c r="G144" s="32" t="n"/>
      <c r="H144" s="10" t="n"/>
      <c r="I144" s="10" t="n"/>
      <c r="J144" s="10" t="n"/>
      <c r="K144" s="10" t="n"/>
      <c r="L144" s="10" t="n"/>
      <c r="M144" s="10" t="n"/>
      <c r="N144" s="16">
        <f>IF(A144="","",IF(OR(COUNTIF($A$8:$A$207,A144)&lt;&gt;1,COUNTIF('公司'!$A$8:$A$207,B144)&lt;&gt;1),"检查编号或关联","正常"))</f>
        <v/>
      </c>
    </row>
    <row r="145" ht="34" customHeight="1">
      <c r="A145" s="32" t="n"/>
      <c r="B145" s="32" t="n"/>
      <c r="C145" s="16">
        <f>IF(B145="","",IF(COUNTIF('公司'!$A$8:$A$207,B145)&lt;&gt;1,"编号缺失或重复",INDEX('公司'!$B$8:$B$207,MATCH(B145,'公司'!$A$8:$A$207,0))))</f>
        <v/>
      </c>
      <c r="D145" s="10" t="n"/>
      <c r="E145" s="10" t="n"/>
      <c r="F145" s="10" t="n"/>
      <c r="G145" s="32" t="n"/>
      <c r="H145" s="10" t="n"/>
      <c r="I145" s="10" t="n"/>
      <c r="J145" s="10" t="n"/>
      <c r="K145" s="10" t="n"/>
      <c r="L145" s="10" t="n"/>
      <c r="M145" s="10" t="n"/>
      <c r="N145" s="16">
        <f>IF(A145="","",IF(OR(COUNTIF($A$8:$A$207,A145)&lt;&gt;1,COUNTIF('公司'!$A$8:$A$207,B145)&lt;&gt;1),"检查编号或关联","正常"))</f>
        <v/>
      </c>
    </row>
    <row r="146" ht="34" customHeight="1">
      <c r="A146" s="32" t="n"/>
      <c r="B146" s="32" t="n"/>
      <c r="C146" s="16">
        <f>IF(B146="","",IF(COUNTIF('公司'!$A$8:$A$207,B146)&lt;&gt;1,"编号缺失或重复",INDEX('公司'!$B$8:$B$207,MATCH(B146,'公司'!$A$8:$A$207,0))))</f>
        <v/>
      </c>
      <c r="D146" s="10" t="n"/>
      <c r="E146" s="10" t="n"/>
      <c r="F146" s="10" t="n"/>
      <c r="G146" s="32" t="n"/>
      <c r="H146" s="10" t="n"/>
      <c r="I146" s="10" t="n"/>
      <c r="J146" s="10" t="n"/>
      <c r="K146" s="10" t="n"/>
      <c r="L146" s="10" t="n"/>
      <c r="M146" s="10" t="n"/>
      <c r="N146" s="16">
        <f>IF(A146="","",IF(OR(COUNTIF($A$8:$A$207,A146)&lt;&gt;1,COUNTIF('公司'!$A$8:$A$207,B146)&lt;&gt;1),"检查编号或关联","正常"))</f>
        <v/>
      </c>
    </row>
    <row r="147" ht="34" customHeight="1">
      <c r="A147" s="32" t="n"/>
      <c r="B147" s="32" t="n"/>
      <c r="C147" s="16">
        <f>IF(B147="","",IF(COUNTIF('公司'!$A$8:$A$207,B147)&lt;&gt;1,"编号缺失或重复",INDEX('公司'!$B$8:$B$207,MATCH(B147,'公司'!$A$8:$A$207,0))))</f>
        <v/>
      </c>
      <c r="D147" s="10" t="n"/>
      <c r="E147" s="10" t="n"/>
      <c r="F147" s="10" t="n"/>
      <c r="G147" s="32" t="n"/>
      <c r="H147" s="10" t="n"/>
      <c r="I147" s="10" t="n"/>
      <c r="J147" s="10" t="n"/>
      <c r="K147" s="10" t="n"/>
      <c r="L147" s="10" t="n"/>
      <c r="M147" s="10" t="n"/>
      <c r="N147" s="16">
        <f>IF(A147="","",IF(OR(COUNTIF($A$8:$A$207,A147)&lt;&gt;1,COUNTIF('公司'!$A$8:$A$207,B147)&lt;&gt;1),"检查编号或关联","正常"))</f>
        <v/>
      </c>
    </row>
    <row r="148" ht="34" customHeight="1">
      <c r="A148" s="32" t="n"/>
      <c r="B148" s="32" t="n"/>
      <c r="C148" s="16">
        <f>IF(B148="","",IF(COUNTIF('公司'!$A$8:$A$207,B148)&lt;&gt;1,"编号缺失或重复",INDEX('公司'!$B$8:$B$207,MATCH(B148,'公司'!$A$8:$A$207,0))))</f>
        <v/>
      </c>
      <c r="D148" s="10" t="n"/>
      <c r="E148" s="10" t="n"/>
      <c r="F148" s="10" t="n"/>
      <c r="G148" s="32" t="n"/>
      <c r="H148" s="10" t="n"/>
      <c r="I148" s="10" t="n"/>
      <c r="J148" s="10" t="n"/>
      <c r="K148" s="10" t="n"/>
      <c r="L148" s="10" t="n"/>
      <c r="M148" s="10" t="n"/>
      <c r="N148" s="16">
        <f>IF(A148="","",IF(OR(COUNTIF($A$8:$A$207,A148)&lt;&gt;1,COUNTIF('公司'!$A$8:$A$207,B148)&lt;&gt;1),"检查编号或关联","正常"))</f>
        <v/>
      </c>
    </row>
    <row r="149" ht="34" customHeight="1">
      <c r="A149" s="32" t="n"/>
      <c r="B149" s="32" t="n"/>
      <c r="C149" s="16">
        <f>IF(B149="","",IF(COUNTIF('公司'!$A$8:$A$207,B149)&lt;&gt;1,"编号缺失或重复",INDEX('公司'!$B$8:$B$207,MATCH(B149,'公司'!$A$8:$A$207,0))))</f>
        <v/>
      </c>
      <c r="D149" s="10" t="n"/>
      <c r="E149" s="10" t="n"/>
      <c r="F149" s="10" t="n"/>
      <c r="G149" s="32" t="n"/>
      <c r="H149" s="10" t="n"/>
      <c r="I149" s="10" t="n"/>
      <c r="J149" s="10" t="n"/>
      <c r="K149" s="10" t="n"/>
      <c r="L149" s="10" t="n"/>
      <c r="M149" s="10" t="n"/>
      <c r="N149" s="16">
        <f>IF(A149="","",IF(OR(COUNTIF($A$8:$A$207,A149)&lt;&gt;1,COUNTIF('公司'!$A$8:$A$207,B149)&lt;&gt;1),"检查编号或关联","正常"))</f>
        <v/>
      </c>
    </row>
    <row r="150" ht="34" customHeight="1">
      <c r="A150" s="32" t="n"/>
      <c r="B150" s="32" t="n"/>
      <c r="C150" s="16">
        <f>IF(B150="","",IF(COUNTIF('公司'!$A$8:$A$207,B150)&lt;&gt;1,"编号缺失或重复",INDEX('公司'!$B$8:$B$207,MATCH(B150,'公司'!$A$8:$A$207,0))))</f>
        <v/>
      </c>
      <c r="D150" s="10" t="n"/>
      <c r="E150" s="10" t="n"/>
      <c r="F150" s="10" t="n"/>
      <c r="G150" s="32" t="n"/>
      <c r="H150" s="10" t="n"/>
      <c r="I150" s="10" t="n"/>
      <c r="J150" s="10" t="n"/>
      <c r="K150" s="10" t="n"/>
      <c r="L150" s="10" t="n"/>
      <c r="M150" s="10" t="n"/>
      <c r="N150" s="16">
        <f>IF(A150="","",IF(OR(COUNTIF($A$8:$A$207,A150)&lt;&gt;1,COUNTIF('公司'!$A$8:$A$207,B150)&lt;&gt;1),"检查编号或关联","正常"))</f>
        <v/>
      </c>
    </row>
    <row r="151" ht="34" customHeight="1">
      <c r="A151" s="32" t="n"/>
      <c r="B151" s="32" t="n"/>
      <c r="C151" s="16">
        <f>IF(B151="","",IF(COUNTIF('公司'!$A$8:$A$207,B151)&lt;&gt;1,"编号缺失或重复",INDEX('公司'!$B$8:$B$207,MATCH(B151,'公司'!$A$8:$A$207,0))))</f>
        <v/>
      </c>
      <c r="D151" s="10" t="n"/>
      <c r="E151" s="10" t="n"/>
      <c r="F151" s="10" t="n"/>
      <c r="G151" s="32" t="n"/>
      <c r="H151" s="10" t="n"/>
      <c r="I151" s="10" t="n"/>
      <c r="J151" s="10" t="n"/>
      <c r="K151" s="10" t="n"/>
      <c r="L151" s="10" t="n"/>
      <c r="M151" s="10" t="n"/>
      <c r="N151" s="16">
        <f>IF(A151="","",IF(OR(COUNTIF($A$8:$A$207,A151)&lt;&gt;1,COUNTIF('公司'!$A$8:$A$207,B151)&lt;&gt;1),"检查编号或关联","正常"))</f>
        <v/>
      </c>
    </row>
    <row r="152" ht="34" customHeight="1">
      <c r="A152" s="32" t="n"/>
      <c r="B152" s="32" t="n"/>
      <c r="C152" s="16">
        <f>IF(B152="","",IF(COUNTIF('公司'!$A$8:$A$207,B152)&lt;&gt;1,"编号缺失或重复",INDEX('公司'!$B$8:$B$207,MATCH(B152,'公司'!$A$8:$A$207,0))))</f>
        <v/>
      </c>
      <c r="D152" s="10" t="n"/>
      <c r="E152" s="10" t="n"/>
      <c r="F152" s="10" t="n"/>
      <c r="G152" s="32" t="n"/>
      <c r="H152" s="10" t="n"/>
      <c r="I152" s="10" t="n"/>
      <c r="J152" s="10" t="n"/>
      <c r="K152" s="10" t="n"/>
      <c r="L152" s="10" t="n"/>
      <c r="M152" s="10" t="n"/>
      <c r="N152" s="16">
        <f>IF(A152="","",IF(OR(COUNTIF($A$8:$A$207,A152)&lt;&gt;1,COUNTIF('公司'!$A$8:$A$207,B152)&lt;&gt;1),"检查编号或关联","正常"))</f>
        <v/>
      </c>
    </row>
    <row r="153" ht="34" customHeight="1">
      <c r="A153" s="32" t="n"/>
      <c r="B153" s="32" t="n"/>
      <c r="C153" s="16">
        <f>IF(B153="","",IF(COUNTIF('公司'!$A$8:$A$207,B153)&lt;&gt;1,"编号缺失或重复",INDEX('公司'!$B$8:$B$207,MATCH(B153,'公司'!$A$8:$A$207,0))))</f>
        <v/>
      </c>
      <c r="D153" s="10" t="n"/>
      <c r="E153" s="10" t="n"/>
      <c r="F153" s="10" t="n"/>
      <c r="G153" s="32" t="n"/>
      <c r="H153" s="10" t="n"/>
      <c r="I153" s="10" t="n"/>
      <c r="J153" s="10" t="n"/>
      <c r="K153" s="10" t="n"/>
      <c r="L153" s="10" t="n"/>
      <c r="M153" s="10" t="n"/>
      <c r="N153" s="16">
        <f>IF(A153="","",IF(OR(COUNTIF($A$8:$A$207,A153)&lt;&gt;1,COUNTIF('公司'!$A$8:$A$207,B153)&lt;&gt;1),"检查编号或关联","正常"))</f>
        <v/>
      </c>
    </row>
    <row r="154" ht="34" customHeight="1">
      <c r="A154" s="32" t="n"/>
      <c r="B154" s="32" t="n"/>
      <c r="C154" s="16">
        <f>IF(B154="","",IF(COUNTIF('公司'!$A$8:$A$207,B154)&lt;&gt;1,"编号缺失或重复",INDEX('公司'!$B$8:$B$207,MATCH(B154,'公司'!$A$8:$A$207,0))))</f>
        <v/>
      </c>
      <c r="D154" s="10" t="n"/>
      <c r="E154" s="10" t="n"/>
      <c r="F154" s="10" t="n"/>
      <c r="G154" s="32" t="n"/>
      <c r="H154" s="10" t="n"/>
      <c r="I154" s="10" t="n"/>
      <c r="J154" s="10" t="n"/>
      <c r="K154" s="10" t="n"/>
      <c r="L154" s="10" t="n"/>
      <c r="M154" s="10" t="n"/>
      <c r="N154" s="16">
        <f>IF(A154="","",IF(OR(COUNTIF($A$8:$A$207,A154)&lt;&gt;1,COUNTIF('公司'!$A$8:$A$207,B154)&lt;&gt;1),"检查编号或关联","正常"))</f>
        <v/>
      </c>
    </row>
    <row r="155" ht="34" customHeight="1">
      <c r="A155" s="32" t="n"/>
      <c r="B155" s="32" t="n"/>
      <c r="C155" s="16">
        <f>IF(B155="","",IF(COUNTIF('公司'!$A$8:$A$207,B155)&lt;&gt;1,"编号缺失或重复",INDEX('公司'!$B$8:$B$207,MATCH(B155,'公司'!$A$8:$A$207,0))))</f>
        <v/>
      </c>
      <c r="D155" s="10" t="n"/>
      <c r="E155" s="10" t="n"/>
      <c r="F155" s="10" t="n"/>
      <c r="G155" s="32" t="n"/>
      <c r="H155" s="10" t="n"/>
      <c r="I155" s="10" t="n"/>
      <c r="J155" s="10" t="n"/>
      <c r="K155" s="10" t="n"/>
      <c r="L155" s="10" t="n"/>
      <c r="M155" s="10" t="n"/>
      <c r="N155" s="16">
        <f>IF(A155="","",IF(OR(COUNTIF($A$8:$A$207,A155)&lt;&gt;1,COUNTIF('公司'!$A$8:$A$207,B155)&lt;&gt;1),"检查编号或关联","正常"))</f>
        <v/>
      </c>
    </row>
    <row r="156" ht="34" customHeight="1">
      <c r="A156" s="32" t="n"/>
      <c r="B156" s="32" t="n"/>
      <c r="C156" s="16">
        <f>IF(B156="","",IF(COUNTIF('公司'!$A$8:$A$207,B156)&lt;&gt;1,"编号缺失或重复",INDEX('公司'!$B$8:$B$207,MATCH(B156,'公司'!$A$8:$A$207,0))))</f>
        <v/>
      </c>
      <c r="D156" s="10" t="n"/>
      <c r="E156" s="10" t="n"/>
      <c r="F156" s="10" t="n"/>
      <c r="G156" s="32" t="n"/>
      <c r="H156" s="10" t="n"/>
      <c r="I156" s="10" t="n"/>
      <c r="J156" s="10" t="n"/>
      <c r="K156" s="10" t="n"/>
      <c r="L156" s="10" t="n"/>
      <c r="M156" s="10" t="n"/>
      <c r="N156" s="16">
        <f>IF(A156="","",IF(OR(COUNTIF($A$8:$A$207,A156)&lt;&gt;1,COUNTIF('公司'!$A$8:$A$207,B156)&lt;&gt;1),"检查编号或关联","正常"))</f>
        <v/>
      </c>
    </row>
    <row r="157" ht="34" customHeight="1">
      <c r="A157" s="32" t="n"/>
      <c r="B157" s="32" t="n"/>
      <c r="C157" s="16">
        <f>IF(B157="","",IF(COUNTIF('公司'!$A$8:$A$207,B157)&lt;&gt;1,"编号缺失或重复",INDEX('公司'!$B$8:$B$207,MATCH(B157,'公司'!$A$8:$A$207,0))))</f>
        <v/>
      </c>
      <c r="D157" s="10" t="n"/>
      <c r="E157" s="10" t="n"/>
      <c r="F157" s="10" t="n"/>
      <c r="G157" s="32" t="n"/>
      <c r="H157" s="10" t="n"/>
      <c r="I157" s="10" t="n"/>
      <c r="J157" s="10" t="n"/>
      <c r="K157" s="10" t="n"/>
      <c r="L157" s="10" t="n"/>
      <c r="M157" s="10" t="n"/>
      <c r="N157" s="16">
        <f>IF(A157="","",IF(OR(COUNTIF($A$8:$A$207,A157)&lt;&gt;1,COUNTIF('公司'!$A$8:$A$207,B157)&lt;&gt;1),"检查编号或关联","正常"))</f>
        <v/>
      </c>
    </row>
    <row r="158" ht="34" customHeight="1">
      <c r="A158" s="32" t="n"/>
      <c r="B158" s="32" t="n"/>
      <c r="C158" s="16">
        <f>IF(B158="","",IF(COUNTIF('公司'!$A$8:$A$207,B158)&lt;&gt;1,"编号缺失或重复",INDEX('公司'!$B$8:$B$207,MATCH(B158,'公司'!$A$8:$A$207,0))))</f>
        <v/>
      </c>
      <c r="D158" s="10" t="n"/>
      <c r="E158" s="10" t="n"/>
      <c r="F158" s="10" t="n"/>
      <c r="G158" s="32" t="n"/>
      <c r="H158" s="10" t="n"/>
      <c r="I158" s="10" t="n"/>
      <c r="J158" s="10" t="n"/>
      <c r="K158" s="10" t="n"/>
      <c r="L158" s="10" t="n"/>
      <c r="M158" s="10" t="n"/>
      <c r="N158" s="16">
        <f>IF(A158="","",IF(OR(COUNTIF($A$8:$A$207,A158)&lt;&gt;1,COUNTIF('公司'!$A$8:$A$207,B158)&lt;&gt;1),"检查编号或关联","正常"))</f>
        <v/>
      </c>
    </row>
    <row r="159" ht="34" customHeight="1">
      <c r="A159" s="32" t="n"/>
      <c r="B159" s="32" t="n"/>
      <c r="C159" s="16">
        <f>IF(B159="","",IF(COUNTIF('公司'!$A$8:$A$207,B159)&lt;&gt;1,"编号缺失或重复",INDEX('公司'!$B$8:$B$207,MATCH(B159,'公司'!$A$8:$A$207,0))))</f>
        <v/>
      </c>
      <c r="D159" s="10" t="n"/>
      <c r="E159" s="10" t="n"/>
      <c r="F159" s="10" t="n"/>
      <c r="G159" s="32" t="n"/>
      <c r="H159" s="10" t="n"/>
      <c r="I159" s="10" t="n"/>
      <c r="J159" s="10" t="n"/>
      <c r="K159" s="10" t="n"/>
      <c r="L159" s="10" t="n"/>
      <c r="M159" s="10" t="n"/>
      <c r="N159" s="16">
        <f>IF(A159="","",IF(OR(COUNTIF($A$8:$A$207,A159)&lt;&gt;1,COUNTIF('公司'!$A$8:$A$207,B159)&lt;&gt;1),"检查编号或关联","正常"))</f>
        <v/>
      </c>
    </row>
    <row r="160" ht="34" customHeight="1">
      <c r="A160" s="32" t="n"/>
      <c r="B160" s="32" t="n"/>
      <c r="C160" s="16">
        <f>IF(B160="","",IF(COUNTIF('公司'!$A$8:$A$207,B160)&lt;&gt;1,"编号缺失或重复",INDEX('公司'!$B$8:$B$207,MATCH(B160,'公司'!$A$8:$A$207,0))))</f>
        <v/>
      </c>
      <c r="D160" s="10" t="n"/>
      <c r="E160" s="10" t="n"/>
      <c r="F160" s="10" t="n"/>
      <c r="G160" s="32" t="n"/>
      <c r="H160" s="10" t="n"/>
      <c r="I160" s="10" t="n"/>
      <c r="J160" s="10" t="n"/>
      <c r="K160" s="10" t="n"/>
      <c r="L160" s="10" t="n"/>
      <c r="M160" s="10" t="n"/>
      <c r="N160" s="16">
        <f>IF(A160="","",IF(OR(COUNTIF($A$8:$A$207,A160)&lt;&gt;1,COUNTIF('公司'!$A$8:$A$207,B160)&lt;&gt;1),"检查编号或关联","正常"))</f>
        <v/>
      </c>
    </row>
    <row r="161" ht="34" customHeight="1">
      <c r="A161" s="32" t="n"/>
      <c r="B161" s="32" t="n"/>
      <c r="C161" s="16">
        <f>IF(B161="","",IF(COUNTIF('公司'!$A$8:$A$207,B161)&lt;&gt;1,"编号缺失或重复",INDEX('公司'!$B$8:$B$207,MATCH(B161,'公司'!$A$8:$A$207,0))))</f>
        <v/>
      </c>
      <c r="D161" s="10" t="n"/>
      <c r="E161" s="10" t="n"/>
      <c r="F161" s="10" t="n"/>
      <c r="G161" s="32" t="n"/>
      <c r="H161" s="10" t="n"/>
      <c r="I161" s="10" t="n"/>
      <c r="J161" s="10" t="n"/>
      <c r="K161" s="10" t="n"/>
      <c r="L161" s="10" t="n"/>
      <c r="M161" s="10" t="n"/>
      <c r="N161" s="16">
        <f>IF(A161="","",IF(OR(COUNTIF($A$8:$A$207,A161)&lt;&gt;1,COUNTIF('公司'!$A$8:$A$207,B161)&lt;&gt;1),"检查编号或关联","正常"))</f>
        <v/>
      </c>
    </row>
    <row r="162" ht="34" customHeight="1">
      <c r="A162" s="32" t="n"/>
      <c r="B162" s="32" t="n"/>
      <c r="C162" s="16">
        <f>IF(B162="","",IF(COUNTIF('公司'!$A$8:$A$207,B162)&lt;&gt;1,"编号缺失或重复",INDEX('公司'!$B$8:$B$207,MATCH(B162,'公司'!$A$8:$A$207,0))))</f>
        <v/>
      </c>
      <c r="D162" s="10" t="n"/>
      <c r="E162" s="10" t="n"/>
      <c r="F162" s="10" t="n"/>
      <c r="G162" s="32" t="n"/>
      <c r="H162" s="10" t="n"/>
      <c r="I162" s="10" t="n"/>
      <c r="J162" s="10" t="n"/>
      <c r="K162" s="10" t="n"/>
      <c r="L162" s="10" t="n"/>
      <c r="M162" s="10" t="n"/>
      <c r="N162" s="16">
        <f>IF(A162="","",IF(OR(COUNTIF($A$8:$A$207,A162)&lt;&gt;1,COUNTIF('公司'!$A$8:$A$207,B162)&lt;&gt;1),"检查编号或关联","正常"))</f>
        <v/>
      </c>
    </row>
    <row r="163" ht="34" customHeight="1">
      <c r="A163" s="32" t="n"/>
      <c r="B163" s="32" t="n"/>
      <c r="C163" s="16">
        <f>IF(B163="","",IF(COUNTIF('公司'!$A$8:$A$207,B163)&lt;&gt;1,"编号缺失或重复",INDEX('公司'!$B$8:$B$207,MATCH(B163,'公司'!$A$8:$A$207,0))))</f>
        <v/>
      </c>
      <c r="D163" s="10" t="n"/>
      <c r="E163" s="10" t="n"/>
      <c r="F163" s="10" t="n"/>
      <c r="G163" s="32" t="n"/>
      <c r="H163" s="10" t="n"/>
      <c r="I163" s="10" t="n"/>
      <c r="J163" s="10" t="n"/>
      <c r="K163" s="10" t="n"/>
      <c r="L163" s="10" t="n"/>
      <c r="M163" s="10" t="n"/>
      <c r="N163" s="16">
        <f>IF(A163="","",IF(OR(COUNTIF($A$8:$A$207,A163)&lt;&gt;1,COUNTIF('公司'!$A$8:$A$207,B163)&lt;&gt;1),"检查编号或关联","正常"))</f>
        <v/>
      </c>
    </row>
    <row r="164" ht="34" customHeight="1">
      <c r="A164" s="32" t="n"/>
      <c r="B164" s="32" t="n"/>
      <c r="C164" s="16">
        <f>IF(B164="","",IF(COUNTIF('公司'!$A$8:$A$207,B164)&lt;&gt;1,"编号缺失或重复",INDEX('公司'!$B$8:$B$207,MATCH(B164,'公司'!$A$8:$A$207,0))))</f>
        <v/>
      </c>
      <c r="D164" s="10" t="n"/>
      <c r="E164" s="10" t="n"/>
      <c r="F164" s="10" t="n"/>
      <c r="G164" s="32" t="n"/>
      <c r="H164" s="10" t="n"/>
      <c r="I164" s="10" t="n"/>
      <c r="J164" s="10" t="n"/>
      <c r="K164" s="10" t="n"/>
      <c r="L164" s="10" t="n"/>
      <c r="M164" s="10" t="n"/>
      <c r="N164" s="16">
        <f>IF(A164="","",IF(OR(COUNTIF($A$8:$A$207,A164)&lt;&gt;1,COUNTIF('公司'!$A$8:$A$207,B164)&lt;&gt;1),"检查编号或关联","正常"))</f>
        <v/>
      </c>
    </row>
    <row r="165" ht="34" customHeight="1">
      <c r="A165" s="32" t="n"/>
      <c r="B165" s="32" t="n"/>
      <c r="C165" s="16">
        <f>IF(B165="","",IF(COUNTIF('公司'!$A$8:$A$207,B165)&lt;&gt;1,"编号缺失或重复",INDEX('公司'!$B$8:$B$207,MATCH(B165,'公司'!$A$8:$A$207,0))))</f>
        <v/>
      </c>
      <c r="D165" s="10" t="n"/>
      <c r="E165" s="10" t="n"/>
      <c r="F165" s="10" t="n"/>
      <c r="G165" s="32" t="n"/>
      <c r="H165" s="10" t="n"/>
      <c r="I165" s="10" t="n"/>
      <c r="J165" s="10" t="n"/>
      <c r="K165" s="10" t="n"/>
      <c r="L165" s="10" t="n"/>
      <c r="M165" s="10" t="n"/>
      <c r="N165" s="16">
        <f>IF(A165="","",IF(OR(COUNTIF($A$8:$A$207,A165)&lt;&gt;1,COUNTIF('公司'!$A$8:$A$207,B165)&lt;&gt;1),"检查编号或关联","正常"))</f>
        <v/>
      </c>
    </row>
    <row r="166" ht="34" customHeight="1">
      <c r="A166" s="32" t="n"/>
      <c r="B166" s="32" t="n"/>
      <c r="C166" s="16">
        <f>IF(B166="","",IF(COUNTIF('公司'!$A$8:$A$207,B166)&lt;&gt;1,"编号缺失或重复",INDEX('公司'!$B$8:$B$207,MATCH(B166,'公司'!$A$8:$A$207,0))))</f>
        <v/>
      </c>
      <c r="D166" s="10" t="n"/>
      <c r="E166" s="10" t="n"/>
      <c r="F166" s="10" t="n"/>
      <c r="G166" s="32" t="n"/>
      <c r="H166" s="10" t="n"/>
      <c r="I166" s="10" t="n"/>
      <c r="J166" s="10" t="n"/>
      <c r="K166" s="10" t="n"/>
      <c r="L166" s="10" t="n"/>
      <c r="M166" s="10" t="n"/>
      <c r="N166" s="16">
        <f>IF(A166="","",IF(OR(COUNTIF($A$8:$A$207,A166)&lt;&gt;1,COUNTIF('公司'!$A$8:$A$207,B166)&lt;&gt;1),"检查编号或关联","正常"))</f>
        <v/>
      </c>
    </row>
    <row r="167" ht="34" customHeight="1">
      <c r="A167" s="32" t="n"/>
      <c r="B167" s="32" t="n"/>
      <c r="C167" s="16">
        <f>IF(B167="","",IF(COUNTIF('公司'!$A$8:$A$207,B167)&lt;&gt;1,"编号缺失或重复",INDEX('公司'!$B$8:$B$207,MATCH(B167,'公司'!$A$8:$A$207,0))))</f>
        <v/>
      </c>
      <c r="D167" s="10" t="n"/>
      <c r="E167" s="10" t="n"/>
      <c r="F167" s="10" t="n"/>
      <c r="G167" s="32" t="n"/>
      <c r="H167" s="10" t="n"/>
      <c r="I167" s="10" t="n"/>
      <c r="J167" s="10" t="n"/>
      <c r="K167" s="10" t="n"/>
      <c r="L167" s="10" t="n"/>
      <c r="M167" s="10" t="n"/>
      <c r="N167" s="16">
        <f>IF(A167="","",IF(OR(COUNTIF($A$8:$A$207,A167)&lt;&gt;1,COUNTIF('公司'!$A$8:$A$207,B167)&lt;&gt;1),"检查编号或关联","正常"))</f>
        <v/>
      </c>
    </row>
    <row r="168" ht="34" customHeight="1">
      <c r="A168" s="32" t="n"/>
      <c r="B168" s="32" t="n"/>
      <c r="C168" s="16">
        <f>IF(B168="","",IF(COUNTIF('公司'!$A$8:$A$207,B168)&lt;&gt;1,"编号缺失或重复",INDEX('公司'!$B$8:$B$207,MATCH(B168,'公司'!$A$8:$A$207,0))))</f>
        <v/>
      </c>
      <c r="D168" s="10" t="n"/>
      <c r="E168" s="10" t="n"/>
      <c r="F168" s="10" t="n"/>
      <c r="G168" s="32" t="n"/>
      <c r="H168" s="10" t="n"/>
      <c r="I168" s="10" t="n"/>
      <c r="J168" s="10" t="n"/>
      <c r="K168" s="10" t="n"/>
      <c r="L168" s="10" t="n"/>
      <c r="M168" s="10" t="n"/>
      <c r="N168" s="16">
        <f>IF(A168="","",IF(OR(COUNTIF($A$8:$A$207,A168)&lt;&gt;1,COUNTIF('公司'!$A$8:$A$207,B168)&lt;&gt;1),"检查编号或关联","正常"))</f>
        <v/>
      </c>
    </row>
    <row r="169" ht="34" customHeight="1">
      <c r="A169" s="32" t="n"/>
      <c r="B169" s="32" t="n"/>
      <c r="C169" s="16">
        <f>IF(B169="","",IF(COUNTIF('公司'!$A$8:$A$207,B169)&lt;&gt;1,"编号缺失或重复",INDEX('公司'!$B$8:$B$207,MATCH(B169,'公司'!$A$8:$A$207,0))))</f>
        <v/>
      </c>
      <c r="D169" s="10" t="n"/>
      <c r="E169" s="10" t="n"/>
      <c r="F169" s="10" t="n"/>
      <c r="G169" s="32" t="n"/>
      <c r="H169" s="10" t="n"/>
      <c r="I169" s="10" t="n"/>
      <c r="J169" s="10" t="n"/>
      <c r="K169" s="10" t="n"/>
      <c r="L169" s="10" t="n"/>
      <c r="M169" s="10" t="n"/>
      <c r="N169" s="16">
        <f>IF(A169="","",IF(OR(COUNTIF($A$8:$A$207,A169)&lt;&gt;1,COUNTIF('公司'!$A$8:$A$207,B169)&lt;&gt;1),"检查编号或关联","正常"))</f>
        <v/>
      </c>
    </row>
    <row r="170" ht="34" customHeight="1">
      <c r="A170" s="32" t="n"/>
      <c r="B170" s="32" t="n"/>
      <c r="C170" s="16">
        <f>IF(B170="","",IF(COUNTIF('公司'!$A$8:$A$207,B170)&lt;&gt;1,"编号缺失或重复",INDEX('公司'!$B$8:$B$207,MATCH(B170,'公司'!$A$8:$A$207,0))))</f>
        <v/>
      </c>
      <c r="D170" s="10" t="n"/>
      <c r="E170" s="10" t="n"/>
      <c r="F170" s="10" t="n"/>
      <c r="G170" s="32" t="n"/>
      <c r="H170" s="10" t="n"/>
      <c r="I170" s="10" t="n"/>
      <c r="J170" s="10" t="n"/>
      <c r="K170" s="10" t="n"/>
      <c r="L170" s="10" t="n"/>
      <c r="M170" s="10" t="n"/>
      <c r="N170" s="16">
        <f>IF(A170="","",IF(OR(COUNTIF($A$8:$A$207,A170)&lt;&gt;1,COUNTIF('公司'!$A$8:$A$207,B170)&lt;&gt;1),"检查编号或关联","正常"))</f>
        <v/>
      </c>
    </row>
    <row r="171" ht="34" customHeight="1">
      <c r="A171" s="32" t="n"/>
      <c r="B171" s="32" t="n"/>
      <c r="C171" s="16">
        <f>IF(B171="","",IF(COUNTIF('公司'!$A$8:$A$207,B171)&lt;&gt;1,"编号缺失或重复",INDEX('公司'!$B$8:$B$207,MATCH(B171,'公司'!$A$8:$A$207,0))))</f>
        <v/>
      </c>
      <c r="D171" s="10" t="n"/>
      <c r="E171" s="10" t="n"/>
      <c r="F171" s="10" t="n"/>
      <c r="G171" s="32" t="n"/>
      <c r="H171" s="10" t="n"/>
      <c r="I171" s="10" t="n"/>
      <c r="J171" s="10" t="n"/>
      <c r="K171" s="10" t="n"/>
      <c r="L171" s="10" t="n"/>
      <c r="M171" s="10" t="n"/>
      <c r="N171" s="16">
        <f>IF(A171="","",IF(OR(COUNTIF($A$8:$A$207,A171)&lt;&gt;1,COUNTIF('公司'!$A$8:$A$207,B171)&lt;&gt;1),"检查编号或关联","正常"))</f>
        <v/>
      </c>
    </row>
    <row r="172" ht="34" customHeight="1">
      <c r="A172" s="32" t="n"/>
      <c r="B172" s="32" t="n"/>
      <c r="C172" s="16">
        <f>IF(B172="","",IF(COUNTIF('公司'!$A$8:$A$207,B172)&lt;&gt;1,"编号缺失或重复",INDEX('公司'!$B$8:$B$207,MATCH(B172,'公司'!$A$8:$A$207,0))))</f>
        <v/>
      </c>
      <c r="D172" s="10" t="n"/>
      <c r="E172" s="10" t="n"/>
      <c r="F172" s="10" t="n"/>
      <c r="G172" s="32" t="n"/>
      <c r="H172" s="10" t="n"/>
      <c r="I172" s="10" t="n"/>
      <c r="J172" s="10" t="n"/>
      <c r="K172" s="10" t="n"/>
      <c r="L172" s="10" t="n"/>
      <c r="M172" s="10" t="n"/>
      <c r="N172" s="16">
        <f>IF(A172="","",IF(OR(COUNTIF($A$8:$A$207,A172)&lt;&gt;1,COUNTIF('公司'!$A$8:$A$207,B172)&lt;&gt;1),"检查编号或关联","正常"))</f>
        <v/>
      </c>
    </row>
    <row r="173" ht="34" customHeight="1">
      <c r="A173" s="32" t="n"/>
      <c r="B173" s="32" t="n"/>
      <c r="C173" s="16">
        <f>IF(B173="","",IF(COUNTIF('公司'!$A$8:$A$207,B173)&lt;&gt;1,"编号缺失或重复",INDEX('公司'!$B$8:$B$207,MATCH(B173,'公司'!$A$8:$A$207,0))))</f>
        <v/>
      </c>
      <c r="D173" s="10" t="n"/>
      <c r="E173" s="10" t="n"/>
      <c r="F173" s="10" t="n"/>
      <c r="G173" s="32" t="n"/>
      <c r="H173" s="10" t="n"/>
      <c r="I173" s="10" t="n"/>
      <c r="J173" s="10" t="n"/>
      <c r="K173" s="10" t="n"/>
      <c r="L173" s="10" t="n"/>
      <c r="M173" s="10" t="n"/>
      <c r="N173" s="16">
        <f>IF(A173="","",IF(OR(COUNTIF($A$8:$A$207,A173)&lt;&gt;1,COUNTIF('公司'!$A$8:$A$207,B173)&lt;&gt;1),"检查编号或关联","正常"))</f>
        <v/>
      </c>
    </row>
    <row r="174" ht="34" customHeight="1">
      <c r="A174" s="32" t="n"/>
      <c r="B174" s="32" t="n"/>
      <c r="C174" s="16">
        <f>IF(B174="","",IF(COUNTIF('公司'!$A$8:$A$207,B174)&lt;&gt;1,"编号缺失或重复",INDEX('公司'!$B$8:$B$207,MATCH(B174,'公司'!$A$8:$A$207,0))))</f>
        <v/>
      </c>
      <c r="D174" s="10" t="n"/>
      <c r="E174" s="10" t="n"/>
      <c r="F174" s="10" t="n"/>
      <c r="G174" s="32" t="n"/>
      <c r="H174" s="10" t="n"/>
      <c r="I174" s="10" t="n"/>
      <c r="J174" s="10" t="n"/>
      <c r="K174" s="10" t="n"/>
      <c r="L174" s="10" t="n"/>
      <c r="M174" s="10" t="n"/>
      <c r="N174" s="16">
        <f>IF(A174="","",IF(OR(COUNTIF($A$8:$A$207,A174)&lt;&gt;1,COUNTIF('公司'!$A$8:$A$207,B174)&lt;&gt;1),"检查编号或关联","正常"))</f>
        <v/>
      </c>
    </row>
    <row r="175" ht="34" customHeight="1">
      <c r="A175" s="32" t="n"/>
      <c r="B175" s="32" t="n"/>
      <c r="C175" s="16">
        <f>IF(B175="","",IF(COUNTIF('公司'!$A$8:$A$207,B175)&lt;&gt;1,"编号缺失或重复",INDEX('公司'!$B$8:$B$207,MATCH(B175,'公司'!$A$8:$A$207,0))))</f>
        <v/>
      </c>
      <c r="D175" s="10" t="n"/>
      <c r="E175" s="10" t="n"/>
      <c r="F175" s="10" t="n"/>
      <c r="G175" s="32" t="n"/>
      <c r="H175" s="10" t="n"/>
      <c r="I175" s="10" t="n"/>
      <c r="J175" s="10" t="n"/>
      <c r="K175" s="10" t="n"/>
      <c r="L175" s="10" t="n"/>
      <c r="M175" s="10" t="n"/>
      <c r="N175" s="16">
        <f>IF(A175="","",IF(OR(COUNTIF($A$8:$A$207,A175)&lt;&gt;1,COUNTIF('公司'!$A$8:$A$207,B175)&lt;&gt;1),"检查编号或关联","正常"))</f>
        <v/>
      </c>
    </row>
    <row r="176" ht="34" customHeight="1">
      <c r="A176" s="32" t="n"/>
      <c r="B176" s="32" t="n"/>
      <c r="C176" s="16">
        <f>IF(B176="","",IF(COUNTIF('公司'!$A$8:$A$207,B176)&lt;&gt;1,"编号缺失或重复",INDEX('公司'!$B$8:$B$207,MATCH(B176,'公司'!$A$8:$A$207,0))))</f>
        <v/>
      </c>
      <c r="D176" s="10" t="n"/>
      <c r="E176" s="10" t="n"/>
      <c r="F176" s="10" t="n"/>
      <c r="G176" s="32" t="n"/>
      <c r="H176" s="10" t="n"/>
      <c r="I176" s="10" t="n"/>
      <c r="J176" s="10" t="n"/>
      <c r="K176" s="10" t="n"/>
      <c r="L176" s="10" t="n"/>
      <c r="M176" s="10" t="n"/>
      <c r="N176" s="16">
        <f>IF(A176="","",IF(OR(COUNTIF($A$8:$A$207,A176)&lt;&gt;1,COUNTIF('公司'!$A$8:$A$207,B176)&lt;&gt;1),"检查编号或关联","正常"))</f>
        <v/>
      </c>
    </row>
    <row r="177" ht="34" customHeight="1">
      <c r="A177" s="32" t="n"/>
      <c r="B177" s="32" t="n"/>
      <c r="C177" s="16">
        <f>IF(B177="","",IF(COUNTIF('公司'!$A$8:$A$207,B177)&lt;&gt;1,"编号缺失或重复",INDEX('公司'!$B$8:$B$207,MATCH(B177,'公司'!$A$8:$A$207,0))))</f>
        <v/>
      </c>
      <c r="D177" s="10" t="n"/>
      <c r="E177" s="10" t="n"/>
      <c r="F177" s="10" t="n"/>
      <c r="G177" s="32" t="n"/>
      <c r="H177" s="10" t="n"/>
      <c r="I177" s="10" t="n"/>
      <c r="J177" s="10" t="n"/>
      <c r="K177" s="10" t="n"/>
      <c r="L177" s="10" t="n"/>
      <c r="M177" s="10" t="n"/>
      <c r="N177" s="16">
        <f>IF(A177="","",IF(OR(COUNTIF($A$8:$A$207,A177)&lt;&gt;1,COUNTIF('公司'!$A$8:$A$207,B177)&lt;&gt;1),"检查编号或关联","正常"))</f>
        <v/>
      </c>
    </row>
    <row r="178" ht="34" customHeight="1">
      <c r="A178" s="32" t="n"/>
      <c r="B178" s="32" t="n"/>
      <c r="C178" s="16">
        <f>IF(B178="","",IF(COUNTIF('公司'!$A$8:$A$207,B178)&lt;&gt;1,"编号缺失或重复",INDEX('公司'!$B$8:$B$207,MATCH(B178,'公司'!$A$8:$A$207,0))))</f>
        <v/>
      </c>
      <c r="D178" s="10" t="n"/>
      <c r="E178" s="10" t="n"/>
      <c r="F178" s="10" t="n"/>
      <c r="G178" s="32" t="n"/>
      <c r="H178" s="10" t="n"/>
      <c r="I178" s="10" t="n"/>
      <c r="J178" s="10" t="n"/>
      <c r="K178" s="10" t="n"/>
      <c r="L178" s="10" t="n"/>
      <c r="M178" s="10" t="n"/>
      <c r="N178" s="16">
        <f>IF(A178="","",IF(OR(COUNTIF($A$8:$A$207,A178)&lt;&gt;1,COUNTIF('公司'!$A$8:$A$207,B178)&lt;&gt;1),"检查编号或关联","正常"))</f>
        <v/>
      </c>
    </row>
    <row r="179" ht="34" customHeight="1">
      <c r="A179" s="32" t="n"/>
      <c r="B179" s="32" t="n"/>
      <c r="C179" s="16">
        <f>IF(B179="","",IF(COUNTIF('公司'!$A$8:$A$207,B179)&lt;&gt;1,"编号缺失或重复",INDEX('公司'!$B$8:$B$207,MATCH(B179,'公司'!$A$8:$A$207,0))))</f>
        <v/>
      </c>
      <c r="D179" s="10" t="n"/>
      <c r="E179" s="10" t="n"/>
      <c r="F179" s="10" t="n"/>
      <c r="G179" s="32" t="n"/>
      <c r="H179" s="10" t="n"/>
      <c r="I179" s="10" t="n"/>
      <c r="J179" s="10" t="n"/>
      <c r="K179" s="10" t="n"/>
      <c r="L179" s="10" t="n"/>
      <c r="M179" s="10" t="n"/>
      <c r="N179" s="16">
        <f>IF(A179="","",IF(OR(COUNTIF($A$8:$A$207,A179)&lt;&gt;1,COUNTIF('公司'!$A$8:$A$207,B179)&lt;&gt;1),"检查编号或关联","正常"))</f>
        <v/>
      </c>
    </row>
    <row r="180" ht="34" customHeight="1">
      <c r="A180" s="32" t="n"/>
      <c r="B180" s="32" t="n"/>
      <c r="C180" s="16">
        <f>IF(B180="","",IF(COUNTIF('公司'!$A$8:$A$207,B180)&lt;&gt;1,"编号缺失或重复",INDEX('公司'!$B$8:$B$207,MATCH(B180,'公司'!$A$8:$A$207,0))))</f>
        <v/>
      </c>
      <c r="D180" s="10" t="n"/>
      <c r="E180" s="10" t="n"/>
      <c r="F180" s="10" t="n"/>
      <c r="G180" s="32" t="n"/>
      <c r="H180" s="10" t="n"/>
      <c r="I180" s="10" t="n"/>
      <c r="J180" s="10" t="n"/>
      <c r="K180" s="10" t="n"/>
      <c r="L180" s="10" t="n"/>
      <c r="M180" s="10" t="n"/>
      <c r="N180" s="16">
        <f>IF(A180="","",IF(OR(COUNTIF($A$8:$A$207,A180)&lt;&gt;1,COUNTIF('公司'!$A$8:$A$207,B180)&lt;&gt;1),"检查编号或关联","正常"))</f>
        <v/>
      </c>
    </row>
    <row r="181" ht="34" customHeight="1">
      <c r="A181" s="32" t="n"/>
      <c r="B181" s="32" t="n"/>
      <c r="C181" s="16">
        <f>IF(B181="","",IF(COUNTIF('公司'!$A$8:$A$207,B181)&lt;&gt;1,"编号缺失或重复",INDEX('公司'!$B$8:$B$207,MATCH(B181,'公司'!$A$8:$A$207,0))))</f>
        <v/>
      </c>
      <c r="D181" s="10" t="n"/>
      <c r="E181" s="10" t="n"/>
      <c r="F181" s="10" t="n"/>
      <c r="G181" s="32" t="n"/>
      <c r="H181" s="10" t="n"/>
      <c r="I181" s="10" t="n"/>
      <c r="J181" s="10" t="n"/>
      <c r="K181" s="10" t="n"/>
      <c r="L181" s="10" t="n"/>
      <c r="M181" s="10" t="n"/>
      <c r="N181" s="16">
        <f>IF(A181="","",IF(OR(COUNTIF($A$8:$A$207,A181)&lt;&gt;1,COUNTIF('公司'!$A$8:$A$207,B181)&lt;&gt;1),"检查编号或关联","正常"))</f>
        <v/>
      </c>
    </row>
    <row r="182" ht="34" customHeight="1">
      <c r="A182" s="32" t="n"/>
      <c r="B182" s="32" t="n"/>
      <c r="C182" s="16">
        <f>IF(B182="","",IF(COUNTIF('公司'!$A$8:$A$207,B182)&lt;&gt;1,"编号缺失或重复",INDEX('公司'!$B$8:$B$207,MATCH(B182,'公司'!$A$8:$A$207,0))))</f>
        <v/>
      </c>
      <c r="D182" s="10" t="n"/>
      <c r="E182" s="10" t="n"/>
      <c r="F182" s="10" t="n"/>
      <c r="G182" s="32" t="n"/>
      <c r="H182" s="10" t="n"/>
      <c r="I182" s="10" t="n"/>
      <c r="J182" s="10" t="n"/>
      <c r="K182" s="10" t="n"/>
      <c r="L182" s="10" t="n"/>
      <c r="M182" s="10" t="n"/>
      <c r="N182" s="16">
        <f>IF(A182="","",IF(OR(COUNTIF($A$8:$A$207,A182)&lt;&gt;1,COUNTIF('公司'!$A$8:$A$207,B182)&lt;&gt;1),"检查编号或关联","正常"))</f>
        <v/>
      </c>
    </row>
    <row r="183" ht="34" customHeight="1">
      <c r="A183" s="32" t="n"/>
      <c r="B183" s="32" t="n"/>
      <c r="C183" s="16">
        <f>IF(B183="","",IF(COUNTIF('公司'!$A$8:$A$207,B183)&lt;&gt;1,"编号缺失或重复",INDEX('公司'!$B$8:$B$207,MATCH(B183,'公司'!$A$8:$A$207,0))))</f>
        <v/>
      </c>
      <c r="D183" s="10" t="n"/>
      <c r="E183" s="10" t="n"/>
      <c r="F183" s="10" t="n"/>
      <c r="G183" s="32" t="n"/>
      <c r="H183" s="10" t="n"/>
      <c r="I183" s="10" t="n"/>
      <c r="J183" s="10" t="n"/>
      <c r="K183" s="10" t="n"/>
      <c r="L183" s="10" t="n"/>
      <c r="M183" s="10" t="n"/>
      <c r="N183" s="16">
        <f>IF(A183="","",IF(OR(COUNTIF($A$8:$A$207,A183)&lt;&gt;1,COUNTIF('公司'!$A$8:$A$207,B183)&lt;&gt;1),"检查编号或关联","正常"))</f>
        <v/>
      </c>
    </row>
    <row r="184" ht="34" customHeight="1">
      <c r="A184" s="32" t="n"/>
      <c r="B184" s="32" t="n"/>
      <c r="C184" s="16">
        <f>IF(B184="","",IF(COUNTIF('公司'!$A$8:$A$207,B184)&lt;&gt;1,"编号缺失或重复",INDEX('公司'!$B$8:$B$207,MATCH(B184,'公司'!$A$8:$A$207,0))))</f>
        <v/>
      </c>
      <c r="D184" s="10" t="n"/>
      <c r="E184" s="10" t="n"/>
      <c r="F184" s="10" t="n"/>
      <c r="G184" s="32" t="n"/>
      <c r="H184" s="10" t="n"/>
      <c r="I184" s="10" t="n"/>
      <c r="J184" s="10" t="n"/>
      <c r="K184" s="10" t="n"/>
      <c r="L184" s="10" t="n"/>
      <c r="M184" s="10" t="n"/>
      <c r="N184" s="16">
        <f>IF(A184="","",IF(OR(COUNTIF($A$8:$A$207,A184)&lt;&gt;1,COUNTIF('公司'!$A$8:$A$207,B184)&lt;&gt;1),"检查编号或关联","正常"))</f>
        <v/>
      </c>
    </row>
    <row r="185" ht="34" customHeight="1">
      <c r="A185" s="32" t="n"/>
      <c r="B185" s="32" t="n"/>
      <c r="C185" s="16">
        <f>IF(B185="","",IF(COUNTIF('公司'!$A$8:$A$207,B185)&lt;&gt;1,"编号缺失或重复",INDEX('公司'!$B$8:$B$207,MATCH(B185,'公司'!$A$8:$A$207,0))))</f>
        <v/>
      </c>
      <c r="D185" s="10" t="n"/>
      <c r="E185" s="10" t="n"/>
      <c r="F185" s="10" t="n"/>
      <c r="G185" s="32" t="n"/>
      <c r="H185" s="10" t="n"/>
      <c r="I185" s="10" t="n"/>
      <c r="J185" s="10" t="n"/>
      <c r="K185" s="10" t="n"/>
      <c r="L185" s="10" t="n"/>
      <c r="M185" s="10" t="n"/>
      <c r="N185" s="16">
        <f>IF(A185="","",IF(OR(COUNTIF($A$8:$A$207,A185)&lt;&gt;1,COUNTIF('公司'!$A$8:$A$207,B185)&lt;&gt;1),"检查编号或关联","正常"))</f>
        <v/>
      </c>
    </row>
    <row r="186" ht="34" customHeight="1">
      <c r="A186" s="32" t="n"/>
      <c r="B186" s="32" t="n"/>
      <c r="C186" s="16">
        <f>IF(B186="","",IF(COUNTIF('公司'!$A$8:$A$207,B186)&lt;&gt;1,"编号缺失或重复",INDEX('公司'!$B$8:$B$207,MATCH(B186,'公司'!$A$8:$A$207,0))))</f>
        <v/>
      </c>
      <c r="D186" s="10" t="n"/>
      <c r="E186" s="10" t="n"/>
      <c r="F186" s="10" t="n"/>
      <c r="G186" s="32" t="n"/>
      <c r="H186" s="10" t="n"/>
      <c r="I186" s="10" t="n"/>
      <c r="J186" s="10" t="n"/>
      <c r="K186" s="10" t="n"/>
      <c r="L186" s="10" t="n"/>
      <c r="M186" s="10" t="n"/>
      <c r="N186" s="16">
        <f>IF(A186="","",IF(OR(COUNTIF($A$8:$A$207,A186)&lt;&gt;1,COUNTIF('公司'!$A$8:$A$207,B186)&lt;&gt;1),"检查编号或关联","正常"))</f>
        <v/>
      </c>
    </row>
    <row r="187" ht="34" customHeight="1">
      <c r="A187" s="32" t="n"/>
      <c r="B187" s="32" t="n"/>
      <c r="C187" s="16">
        <f>IF(B187="","",IF(COUNTIF('公司'!$A$8:$A$207,B187)&lt;&gt;1,"编号缺失或重复",INDEX('公司'!$B$8:$B$207,MATCH(B187,'公司'!$A$8:$A$207,0))))</f>
        <v/>
      </c>
      <c r="D187" s="10" t="n"/>
      <c r="E187" s="10" t="n"/>
      <c r="F187" s="10" t="n"/>
      <c r="G187" s="32" t="n"/>
      <c r="H187" s="10" t="n"/>
      <c r="I187" s="10" t="n"/>
      <c r="J187" s="10" t="n"/>
      <c r="K187" s="10" t="n"/>
      <c r="L187" s="10" t="n"/>
      <c r="M187" s="10" t="n"/>
      <c r="N187" s="16">
        <f>IF(A187="","",IF(OR(COUNTIF($A$8:$A$207,A187)&lt;&gt;1,COUNTIF('公司'!$A$8:$A$207,B187)&lt;&gt;1),"检查编号或关联","正常"))</f>
        <v/>
      </c>
    </row>
    <row r="188" ht="34" customHeight="1">
      <c r="A188" s="32" t="n"/>
      <c r="B188" s="32" t="n"/>
      <c r="C188" s="16">
        <f>IF(B188="","",IF(COUNTIF('公司'!$A$8:$A$207,B188)&lt;&gt;1,"编号缺失或重复",INDEX('公司'!$B$8:$B$207,MATCH(B188,'公司'!$A$8:$A$207,0))))</f>
        <v/>
      </c>
      <c r="D188" s="10" t="n"/>
      <c r="E188" s="10" t="n"/>
      <c r="F188" s="10" t="n"/>
      <c r="G188" s="32" t="n"/>
      <c r="H188" s="10" t="n"/>
      <c r="I188" s="10" t="n"/>
      <c r="J188" s="10" t="n"/>
      <c r="K188" s="10" t="n"/>
      <c r="L188" s="10" t="n"/>
      <c r="M188" s="10" t="n"/>
      <c r="N188" s="16">
        <f>IF(A188="","",IF(OR(COUNTIF($A$8:$A$207,A188)&lt;&gt;1,COUNTIF('公司'!$A$8:$A$207,B188)&lt;&gt;1),"检查编号或关联","正常"))</f>
        <v/>
      </c>
    </row>
    <row r="189" ht="34" customHeight="1">
      <c r="A189" s="32" t="n"/>
      <c r="B189" s="32" t="n"/>
      <c r="C189" s="16">
        <f>IF(B189="","",IF(COUNTIF('公司'!$A$8:$A$207,B189)&lt;&gt;1,"编号缺失或重复",INDEX('公司'!$B$8:$B$207,MATCH(B189,'公司'!$A$8:$A$207,0))))</f>
        <v/>
      </c>
      <c r="D189" s="10" t="n"/>
      <c r="E189" s="10" t="n"/>
      <c r="F189" s="10" t="n"/>
      <c r="G189" s="32" t="n"/>
      <c r="H189" s="10" t="n"/>
      <c r="I189" s="10" t="n"/>
      <c r="J189" s="10" t="n"/>
      <c r="K189" s="10" t="n"/>
      <c r="L189" s="10" t="n"/>
      <c r="M189" s="10" t="n"/>
      <c r="N189" s="16">
        <f>IF(A189="","",IF(OR(COUNTIF($A$8:$A$207,A189)&lt;&gt;1,COUNTIF('公司'!$A$8:$A$207,B189)&lt;&gt;1),"检查编号或关联","正常"))</f>
        <v/>
      </c>
    </row>
    <row r="190" ht="34" customHeight="1">
      <c r="A190" s="32" t="n"/>
      <c r="B190" s="32" t="n"/>
      <c r="C190" s="16">
        <f>IF(B190="","",IF(COUNTIF('公司'!$A$8:$A$207,B190)&lt;&gt;1,"编号缺失或重复",INDEX('公司'!$B$8:$B$207,MATCH(B190,'公司'!$A$8:$A$207,0))))</f>
        <v/>
      </c>
      <c r="D190" s="10" t="n"/>
      <c r="E190" s="10" t="n"/>
      <c r="F190" s="10" t="n"/>
      <c r="G190" s="32" t="n"/>
      <c r="H190" s="10" t="n"/>
      <c r="I190" s="10" t="n"/>
      <c r="J190" s="10" t="n"/>
      <c r="K190" s="10" t="n"/>
      <c r="L190" s="10" t="n"/>
      <c r="M190" s="10" t="n"/>
      <c r="N190" s="16">
        <f>IF(A190="","",IF(OR(COUNTIF($A$8:$A$207,A190)&lt;&gt;1,COUNTIF('公司'!$A$8:$A$207,B190)&lt;&gt;1),"检查编号或关联","正常"))</f>
        <v/>
      </c>
    </row>
    <row r="191" ht="34" customHeight="1">
      <c r="A191" s="32" t="n"/>
      <c r="B191" s="32" t="n"/>
      <c r="C191" s="16">
        <f>IF(B191="","",IF(COUNTIF('公司'!$A$8:$A$207,B191)&lt;&gt;1,"编号缺失或重复",INDEX('公司'!$B$8:$B$207,MATCH(B191,'公司'!$A$8:$A$207,0))))</f>
        <v/>
      </c>
      <c r="D191" s="10" t="n"/>
      <c r="E191" s="10" t="n"/>
      <c r="F191" s="10" t="n"/>
      <c r="G191" s="32" t="n"/>
      <c r="H191" s="10" t="n"/>
      <c r="I191" s="10" t="n"/>
      <c r="J191" s="10" t="n"/>
      <c r="K191" s="10" t="n"/>
      <c r="L191" s="10" t="n"/>
      <c r="M191" s="10" t="n"/>
      <c r="N191" s="16">
        <f>IF(A191="","",IF(OR(COUNTIF($A$8:$A$207,A191)&lt;&gt;1,COUNTIF('公司'!$A$8:$A$207,B191)&lt;&gt;1),"检查编号或关联","正常"))</f>
        <v/>
      </c>
    </row>
    <row r="192" ht="34" customHeight="1">
      <c r="A192" s="32" t="n"/>
      <c r="B192" s="32" t="n"/>
      <c r="C192" s="16">
        <f>IF(B192="","",IF(COUNTIF('公司'!$A$8:$A$207,B192)&lt;&gt;1,"编号缺失或重复",INDEX('公司'!$B$8:$B$207,MATCH(B192,'公司'!$A$8:$A$207,0))))</f>
        <v/>
      </c>
      <c r="D192" s="10" t="n"/>
      <c r="E192" s="10" t="n"/>
      <c r="F192" s="10" t="n"/>
      <c r="G192" s="32" t="n"/>
      <c r="H192" s="10" t="n"/>
      <c r="I192" s="10" t="n"/>
      <c r="J192" s="10" t="n"/>
      <c r="K192" s="10" t="n"/>
      <c r="L192" s="10" t="n"/>
      <c r="M192" s="10" t="n"/>
      <c r="N192" s="16">
        <f>IF(A192="","",IF(OR(COUNTIF($A$8:$A$207,A192)&lt;&gt;1,COUNTIF('公司'!$A$8:$A$207,B192)&lt;&gt;1),"检查编号或关联","正常"))</f>
        <v/>
      </c>
    </row>
    <row r="193" ht="34" customHeight="1">
      <c r="A193" s="32" t="n"/>
      <c r="B193" s="32" t="n"/>
      <c r="C193" s="16">
        <f>IF(B193="","",IF(COUNTIF('公司'!$A$8:$A$207,B193)&lt;&gt;1,"编号缺失或重复",INDEX('公司'!$B$8:$B$207,MATCH(B193,'公司'!$A$8:$A$207,0))))</f>
        <v/>
      </c>
      <c r="D193" s="10" t="n"/>
      <c r="E193" s="10" t="n"/>
      <c r="F193" s="10" t="n"/>
      <c r="G193" s="32" t="n"/>
      <c r="H193" s="10" t="n"/>
      <c r="I193" s="10" t="n"/>
      <c r="J193" s="10" t="n"/>
      <c r="K193" s="10" t="n"/>
      <c r="L193" s="10" t="n"/>
      <c r="M193" s="10" t="n"/>
      <c r="N193" s="16">
        <f>IF(A193="","",IF(OR(COUNTIF($A$8:$A$207,A193)&lt;&gt;1,COUNTIF('公司'!$A$8:$A$207,B193)&lt;&gt;1),"检查编号或关联","正常"))</f>
        <v/>
      </c>
    </row>
    <row r="194" ht="34" customHeight="1">
      <c r="A194" s="32" t="n"/>
      <c r="B194" s="32" t="n"/>
      <c r="C194" s="16">
        <f>IF(B194="","",IF(COUNTIF('公司'!$A$8:$A$207,B194)&lt;&gt;1,"编号缺失或重复",INDEX('公司'!$B$8:$B$207,MATCH(B194,'公司'!$A$8:$A$207,0))))</f>
        <v/>
      </c>
      <c r="D194" s="10" t="n"/>
      <c r="E194" s="10" t="n"/>
      <c r="F194" s="10" t="n"/>
      <c r="G194" s="32" t="n"/>
      <c r="H194" s="10" t="n"/>
      <c r="I194" s="10" t="n"/>
      <c r="J194" s="10" t="n"/>
      <c r="K194" s="10" t="n"/>
      <c r="L194" s="10" t="n"/>
      <c r="M194" s="10" t="n"/>
      <c r="N194" s="16">
        <f>IF(A194="","",IF(OR(COUNTIF($A$8:$A$207,A194)&lt;&gt;1,COUNTIF('公司'!$A$8:$A$207,B194)&lt;&gt;1),"检查编号或关联","正常"))</f>
        <v/>
      </c>
    </row>
    <row r="195" ht="34" customHeight="1">
      <c r="A195" s="32" t="n"/>
      <c r="B195" s="32" t="n"/>
      <c r="C195" s="16">
        <f>IF(B195="","",IF(COUNTIF('公司'!$A$8:$A$207,B195)&lt;&gt;1,"编号缺失或重复",INDEX('公司'!$B$8:$B$207,MATCH(B195,'公司'!$A$8:$A$207,0))))</f>
        <v/>
      </c>
      <c r="D195" s="10" t="n"/>
      <c r="E195" s="10" t="n"/>
      <c r="F195" s="10" t="n"/>
      <c r="G195" s="32" t="n"/>
      <c r="H195" s="10" t="n"/>
      <c r="I195" s="10" t="n"/>
      <c r="J195" s="10" t="n"/>
      <c r="K195" s="10" t="n"/>
      <c r="L195" s="10" t="n"/>
      <c r="M195" s="10" t="n"/>
      <c r="N195" s="16">
        <f>IF(A195="","",IF(OR(COUNTIF($A$8:$A$207,A195)&lt;&gt;1,COUNTIF('公司'!$A$8:$A$207,B195)&lt;&gt;1),"检查编号或关联","正常"))</f>
        <v/>
      </c>
    </row>
    <row r="196" ht="34" customHeight="1">
      <c r="A196" s="32" t="n"/>
      <c r="B196" s="32" t="n"/>
      <c r="C196" s="16">
        <f>IF(B196="","",IF(COUNTIF('公司'!$A$8:$A$207,B196)&lt;&gt;1,"编号缺失或重复",INDEX('公司'!$B$8:$B$207,MATCH(B196,'公司'!$A$8:$A$207,0))))</f>
        <v/>
      </c>
      <c r="D196" s="10" t="n"/>
      <c r="E196" s="10" t="n"/>
      <c r="F196" s="10" t="n"/>
      <c r="G196" s="32" t="n"/>
      <c r="H196" s="10" t="n"/>
      <c r="I196" s="10" t="n"/>
      <c r="J196" s="10" t="n"/>
      <c r="K196" s="10" t="n"/>
      <c r="L196" s="10" t="n"/>
      <c r="M196" s="10" t="n"/>
      <c r="N196" s="16">
        <f>IF(A196="","",IF(OR(COUNTIF($A$8:$A$207,A196)&lt;&gt;1,COUNTIF('公司'!$A$8:$A$207,B196)&lt;&gt;1),"检查编号或关联","正常"))</f>
        <v/>
      </c>
    </row>
    <row r="197" ht="34" customHeight="1">
      <c r="A197" s="32" t="n"/>
      <c r="B197" s="32" t="n"/>
      <c r="C197" s="16">
        <f>IF(B197="","",IF(COUNTIF('公司'!$A$8:$A$207,B197)&lt;&gt;1,"编号缺失或重复",INDEX('公司'!$B$8:$B$207,MATCH(B197,'公司'!$A$8:$A$207,0))))</f>
        <v/>
      </c>
      <c r="D197" s="10" t="n"/>
      <c r="E197" s="10" t="n"/>
      <c r="F197" s="10" t="n"/>
      <c r="G197" s="32" t="n"/>
      <c r="H197" s="10" t="n"/>
      <c r="I197" s="10" t="n"/>
      <c r="J197" s="10" t="n"/>
      <c r="K197" s="10" t="n"/>
      <c r="L197" s="10" t="n"/>
      <c r="M197" s="10" t="n"/>
      <c r="N197" s="16">
        <f>IF(A197="","",IF(OR(COUNTIF($A$8:$A$207,A197)&lt;&gt;1,COUNTIF('公司'!$A$8:$A$207,B197)&lt;&gt;1),"检查编号或关联","正常"))</f>
        <v/>
      </c>
    </row>
    <row r="198" ht="34" customHeight="1">
      <c r="A198" s="32" t="n"/>
      <c r="B198" s="32" t="n"/>
      <c r="C198" s="16">
        <f>IF(B198="","",IF(COUNTIF('公司'!$A$8:$A$207,B198)&lt;&gt;1,"编号缺失或重复",INDEX('公司'!$B$8:$B$207,MATCH(B198,'公司'!$A$8:$A$207,0))))</f>
        <v/>
      </c>
      <c r="D198" s="10" t="n"/>
      <c r="E198" s="10" t="n"/>
      <c r="F198" s="10" t="n"/>
      <c r="G198" s="32" t="n"/>
      <c r="H198" s="10" t="n"/>
      <c r="I198" s="10" t="n"/>
      <c r="J198" s="10" t="n"/>
      <c r="K198" s="10" t="n"/>
      <c r="L198" s="10" t="n"/>
      <c r="M198" s="10" t="n"/>
      <c r="N198" s="16">
        <f>IF(A198="","",IF(OR(COUNTIF($A$8:$A$207,A198)&lt;&gt;1,COUNTIF('公司'!$A$8:$A$207,B198)&lt;&gt;1),"检查编号或关联","正常"))</f>
        <v/>
      </c>
    </row>
    <row r="199" ht="34" customHeight="1">
      <c r="A199" s="32" t="n"/>
      <c r="B199" s="32" t="n"/>
      <c r="C199" s="16">
        <f>IF(B199="","",IF(COUNTIF('公司'!$A$8:$A$207,B199)&lt;&gt;1,"编号缺失或重复",INDEX('公司'!$B$8:$B$207,MATCH(B199,'公司'!$A$8:$A$207,0))))</f>
        <v/>
      </c>
      <c r="D199" s="10" t="n"/>
      <c r="E199" s="10" t="n"/>
      <c r="F199" s="10" t="n"/>
      <c r="G199" s="32" t="n"/>
      <c r="H199" s="10" t="n"/>
      <c r="I199" s="10" t="n"/>
      <c r="J199" s="10" t="n"/>
      <c r="K199" s="10" t="n"/>
      <c r="L199" s="10" t="n"/>
      <c r="M199" s="10" t="n"/>
      <c r="N199" s="16">
        <f>IF(A199="","",IF(OR(COUNTIF($A$8:$A$207,A199)&lt;&gt;1,COUNTIF('公司'!$A$8:$A$207,B199)&lt;&gt;1),"检查编号或关联","正常"))</f>
        <v/>
      </c>
    </row>
    <row r="200" ht="34" customHeight="1">
      <c r="A200" s="32" t="n"/>
      <c r="B200" s="32" t="n"/>
      <c r="C200" s="16">
        <f>IF(B200="","",IF(COUNTIF('公司'!$A$8:$A$207,B200)&lt;&gt;1,"编号缺失或重复",INDEX('公司'!$B$8:$B$207,MATCH(B200,'公司'!$A$8:$A$207,0))))</f>
        <v/>
      </c>
      <c r="D200" s="10" t="n"/>
      <c r="E200" s="10" t="n"/>
      <c r="F200" s="10" t="n"/>
      <c r="G200" s="32" t="n"/>
      <c r="H200" s="10" t="n"/>
      <c r="I200" s="10" t="n"/>
      <c r="J200" s="10" t="n"/>
      <c r="K200" s="10" t="n"/>
      <c r="L200" s="10" t="n"/>
      <c r="M200" s="10" t="n"/>
      <c r="N200" s="16">
        <f>IF(A200="","",IF(OR(COUNTIF($A$8:$A$207,A200)&lt;&gt;1,COUNTIF('公司'!$A$8:$A$207,B200)&lt;&gt;1),"检查编号或关联","正常"))</f>
        <v/>
      </c>
    </row>
    <row r="201" ht="34" customHeight="1">
      <c r="A201" s="32" t="n"/>
      <c r="B201" s="32" t="n"/>
      <c r="C201" s="16">
        <f>IF(B201="","",IF(COUNTIF('公司'!$A$8:$A$207,B201)&lt;&gt;1,"编号缺失或重复",INDEX('公司'!$B$8:$B$207,MATCH(B201,'公司'!$A$8:$A$207,0))))</f>
        <v/>
      </c>
      <c r="D201" s="10" t="n"/>
      <c r="E201" s="10" t="n"/>
      <c r="F201" s="10" t="n"/>
      <c r="G201" s="32" t="n"/>
      <c r="H201" s="10" t="n"/>
      <c r="I201" s="10" t="n"/>
      <c r="J201" s="10" t="n"/>
      <c r="K201" s="10" t="n"/>
      <c r="L201" s="10" t="n"/>
      <c r="M201" s="10" t="n"/>
      <c r="N201" s="16">
        <f>IF(A201="","",IF(OR(COUNTIF($A$8:$A$207,A201)&lt;&gt;1,COUNTIF('公司'!$A$8:$A$207,B201)&lt;&gt;1),"检查编号或关联","正常"))</f>
        <v/>
      </c>
    </row>
    <row r="202" ht="34" customHeight="1">
      <c r="A202" s="32" t="n"/>
      <c r="B202" s="32" t="n"/>
      <c r="C202" s="16">
        <f>IF(B202="","",IF(COUNTIF('公司'!$A$8:$A$207,B202)&lt;&gt;1,"编号缺失或重复",INDEX('公司'!$B$8:$B$207,MATCH(B202,'公司'!$A$8:$A$207,0))))</f>
        <v/>
      </c>
      <c r="D202" s="10" t="n"/>
      <c r="E202" s="10" t="n"/>
      <c r="F202" s="10" t="n"/>
      <c r="G202" s="32" t="n"/>
      <c r="H202" s="10" t="n"/>
      <c r="I202" s="10" t="n"/>
      <c r="J202" s="10" t="n"/>
      <c r="K202" s="10" t="n"/>
      <c r="L202" s="10" t="n"/>
      <c r="M202" s="10" t="n"/>
      <c r="N202" s="16">
        <f>IF(A202="","",IF(OR(COUNTIF($A$8:$A$207,A202)&lt;&gt;1,COUNTIF('公司'!$A$8:$A$207,B202)&lt;&gt;1),"检查编号或关联","正常"))</f>
        <v/>
      </c>
    </row>
    <row r="203" ht="34" customHeight="1">
      <c r="A203" s="32" t="n"/>
      <c r="B203" s="32" t="n"/>
      <c r="C203" s="16">
        <f>IF(B203="","",IF(COUNTIF('公司'!$A$8:$A$207,B203)&lt;&gt;1,"编号缺失或重复",INDEX('公司'!$B$8:$B$207,MATCH(B203,'公司'!$A$8:$A$207,0))))</f>
        <v/>
      </c>
      <c r="D203" s="10" t="n"/>
      <c r="E203" s="10" t="n"/>
      <c r="F203" s="10" t="n"/>
      <c r="G203" s="32" t="n"/>
      <c r="H203" s="10" t="n"/>
      <c r="I203" s="10" t="n"/>
      <c r="J203" s="10" t="n"/>
      <c r="K203" s="10" t="n"/>
      <c r="L203" s="10" t="n"/>
      <c r="M203" s="10" t="n"/>
      <c r="N203" s="16">
        <f>IF(A203="","",IF(OR(COUNTIF($A$8:$A$207,A203)&lt;&gt;1,COUNTIF('公司'!$A$8:$A$207,B203)&lt;&gt;1),"检查编号或关联","正常"))</f>
        <v/>
      </c>
    </row>
    <row r="204" ht="34" customHeight="1">
      <c r="A204" s="32" t="n"/>
      <c r="B204" s="32" t="n"/>
      <c r="C204" s="16">
        <f>IF(B204="","",IF(COUNTIF('公司'!$A$8:$A$207,B204)&lt;&gt;1,"编号缺失或重复",INDEX('公司'!$B$8:$B$207,MATCH(B204,'公司'!$A$8:$A$207,0))))</f>
        <v/>
      </c>
      <c r="D204" s="10" t="n"/>
      <c r="E204" s="10" t="n"/>
      <c r="F204" s="10" t="n"/>
      <c r="G204" s="32" t="n"/>
      <c r="H204" s="10" t="n"/>
      <c r="I204" s="10" t="n"/>
      <c r="J204" s="10" t="n"/>
      <c r="K204" s="10" t="n"/>
      <c r="L204" s="10" t="n"/>
      <c r="M204" s="10" t="n"/>
      <c r="N204" s="16">
        <f>IF(A204="","",IF(OR(COUNTIF($A$8:$A$207,A204)&lt;&gt;1,COUNTIF('公司'!$A$8:$A$207,B204)&lt;&gt;1),"检查编号或关联","正常"))</f>
        <v/>
      </c>
    </row>
    <row r="205" ht="34" customHeight="1">
      <c r="A205" s="32" t="n"/>
      <c r="B205" s="32" t="n"/>
      <c r="C205" s="16">
        <f>IF(B205="","",IF(COUNTIF('公司'!$A$8:$A$207,B205)&lt;&gt;1,"编号缺失或重复",INDEX('公司'!$B$8:$B$207,MATCH(B205,'公司'!$A$8:$A$207,0))))</f>
        <v/>
      </c>
      <c r="D205" s="10" t="n"/>
      <c r="E205" s="10" t="n"/>
      <c r="F205" s="10" t="n"/>
      <c r="G205" s="32" t="n"/>
      <c r="H205" s="10" t="n"/>
      <c r="I205" s="10" t="n"/>
      <c r="J205" s="10" t="n"/>
      <c r="K205" s="10" t="n"/>
      <c r="L205" s="10" t="n"/>
      <c r="M205" s="10" t="n"/>
      <c r="N205" s="16">
        <f>IF(A205="","",IF(OR(COUNTIF($A$8:$A$207,A205)&lt;&gt;1,COUNTIF('公司'!$A$8:$A$207,B205)&lt;&gt;1),"检查编号或关联","正常"))</f>
        <v/>
      </c>
    </row>
    <row r="206" ht="34" customHeight="1">
      <c r="A206" s="32" t="n"/>
      <c r="B206" s="32" t="n"/>
      <c r="C206" s="16">
        <f>IF(B206="","",IF(COUNTIF('公司'!$A$8:$A$207,B206)&lt;&gt;1,"编号缺失或重复",INDEX('公司'!$B$8:$B$207,MATCH(B206,'公司'!$A$8:$A$207,0))))</f>
        <v/>
      </c>
      <c r="D206" s="10" t="n"/>
      <c r="E206" s="10" t="n"/>
      <c r="F206" s="10" t="n"/>
      <c r="G206" s="32" t="n"/>
      <c r="H206" s="10" t="n"/>
      <c r="I206" s="10" t="n"/>
      <c r="J206" s="10" t="n"/>
      <c r="K206" s="10" t="n"/>
      <c r="L206" s="10" t="n"/>
      <c r="M206" s="10" t="n"/>
      <c r="N206" s="16">
        <f>IF(A206="","",IF(OR(COUNTIF($A$8:$A$207,A206)&lt;&gt;1,COUNTIF('公司'!$A$8:$A$207,B206)&lt;&gt;1),"检查编号或关联","正常"))</f>
        <v/>
      </c>
    </row>
    <row r="207" ht="34" customHeight="1">
      <c r="A207" s="32" t="n"/>
      <c r="B207" s="32" t="n"/>
      <c r="C207" s="16">
        <f>IF(B207="","",IF(COUNTIF('公司'!$A$8:$A$207,B207)&lt;&gt;1,"编号缺失或重复",INDEX('公司'!$B$8:$B$207,MATCH(B207,'公司'!$A$8:$A$207,0))))</f>
        <v/>
      </c>
      <c r="D207" s="10" t="n"/>
      <c r="E207" s="10" t="n"/>
      <c r="F207" s="10" t="n"/>
      <c r="G207" s="32" t="n"/>
      <c r="H207" s="10" t="n"/>
      <c r="I207" s="10" t="n"/>
      <c r="J207" s="10" t="n"/>
      <c r="K207" s="10" t="n"/>
      <c r="L207" s="10" t="n"/>
      <c r="M207" s="10" t="n"/>
      <c r="N207" s="16">
        <f>IF(A207="","",IF(OR(COUNTIF($A$8:$A$207,A207)&lt;&gt;1,COUNTIF('公司'!$A$8:$A$207,B207)&lt;&gt;1),"检查编号或关联","正常"))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N8:N207">
    <cfRule type="containsText" priority="2" operator="containsText" dxfId="0" text="检查"/>
  </conditionalFormatting>
  <dataValidations count="1">
    <dataValidation sqref="L8:L207" showDropDown="0" showInputMessage="0" showErrorMessage="0" allowBlank="0" type="list">
      <formula1>"在职,已离职,待确认"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8297AA"/>
    <outlinePr summaryBelow="1" summaryRight="1"/>
    <pageSetUpPr/>
  </sheetPr>
  <dimension ref="A1:T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36" customWidth="1" min="8" max="8"/>
    <col width="19" customWidth="1" min="9" max="9"/>
    <col width="36" customWidth="1" min="10" max="10"/>
    <col width="36" customWidth="1" min="11" max="11"/>
    <col width="19" customWidth="1" min="12" max="12"/>
    <col width="19" customWidth="1" min="13" max="13"/>
    <col width="19" customWidth="1" min="14" max="14"/>
    <col width="19" customWidth="1" min="15" max="15"/>
    <col width="36" customWidth="1" min="16" max="16"/>
    <col width="19" customWidth="1" min="17" max="17"/>
    <col width="36" customWidth="1" min="18" max="18"/>
    <col width="36" customWidth="1" min="19" max="19"/>
    <col width="19" customWidth="1" min="20" max="20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34" customHeight="1">
      <c r="A2" s="4" t="inlineStr">
        <is>
          <t>用胶项目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34" customHeight="1">
      <c r="A3" s="5" t="inlineStr">
        <is>
          <t>一行一个具体用胶点。寄样量在样品表填写；生产用量在本表填写并注明周期和单位。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00" customHeight="1">
      <c r="A5" s="7" t="inlineStr">
        <is>
          <t>J示例001</t>
        </is>
      </c>
      <c r="B5" s="7" t="inlineStr">
        <is>
          <t>C示例001</t>
        </is>
      </c>
      <c r="C5" s="7" t="inlineStr">
        <is>
          <t>示例电源公司</t>
        </is>
      </c>
      <c r="D5" s="7" t="inlineStr">
        <is>
          <t>P示例001</t>
        </is>
      </c>
      <c r="E5" s="7" t="inlineStr">
        <is>
          <t>电源模块</t>
        </is>
      </c>
      <c r="F5" s="7" t="inlineStr">
        <is>
          <t>壳体内灌封</t>
        </is>
      </c>
      <c r="G5" s="7" t="inlineStr">
        <is>
          <t>待确认</t>
        </is>
      </c>
      <c r="H5" s="7" t="inlineStr">
        <is>
          <t>需确认可接受固化温度和时间</t>
        </is>
      </c>
      <c r="I5" s="7" t="inlineStr">
        <is>
          <t>未记录</t>
        </is>
      </c>
      <c r="J5" s="7" t="inlineStr">
        <is>
          <t>客户希望评估新方案</t>
        </is>
      </c>
      <c r="K5" s="7" t="inlineStr">
        <is>
          <t>未确认</t>
        </is>
      </c>
      <c r="L5" s="7" t="n"/>
      <c r="M5" s="7" t="inlineStr">
        <is>
          <t>例如kg/月；未确认则留空</t>
        </is>
      </c>
      <c r="N5" s="7" t="str"/>
      <c r="O5" s="7" t="inlineStr">
        <is>
          <t>待确认</t>
        </is>
      </c>
      <c r="P5" s="7" t="inlineStr">
        <is>
          <t>待熟练销售或技术答复</t>
        </is>
      </c>
      <c r="Q5" s="7" t="inlineStr">
        <is>
          <t>需求确认</t>
        </is>
      </c>
      <c r="R5" s="7" t="inlineStr">
        <is>
          <t>确认基材与测试条件</t>
        </is>
      </c>
      <c r="S5" s="7" t="inlineStr">
        <is>
          <t>虚构转写 00:30</t>
        </is>
      </c>
      <c r="T5" s="7" t="inlineStr">
        <is>
          <t>示例</t>
        </is>
      </c>
    </row>
    <row r="6" ht="34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42" customHeight="1">
      <c r="A7" s="9" t="inlineStr">
        <is>
          <t>项目编号</t>
        </is>
      </c>
      <c r="B7" s="9" t="inlineStr">
        <is>
          <t>公司编号</t>
        </is>
      </c>
      <c r="C7" s="9" t="inlineStr">
        <is>
          <t>公司名称〔自动〕</t>
        </is>
      </c>
      <c r="D7" s="9" t="inlineStr">
        <is>
          <t>主要联系人编号</t>
        </is>
      </c>
      <c r="E7" s="9" t="inlineStr">
        <is>
          <t>终端产品</t>
        </is>
      </c>
      <c r="F7" s="9" t="inlineStr">
        <is>
          <t>用胶部位</t>
        </is>
      </c>
      <c r="G7" s="9" t="inlineStr">
        <is>
          <t>基材</t>
        </is>
      </c>
      <c r="H7" s="9" t="inlineStr">
        <is>
          <t>当前工艺与固化条件</t>
        </is>
      </c>
      <c r="I7" s="9" t="inlineStr">
        <is>
          <t>现用材料或型号</t>
        </is>
      </c>
      <c r="J7" s="9" t="inlineStr">
        <is>
          <t>客户问题与目标</t>
        </is>
      </c>
      <c r="K7" s="9" t="inlineStr">
        <is>
          <t>测试项目及合格条件</t>
        </is>
      </c>
      <c r="L7" s="9" t="inlineStr">
        <is>
          <t>客户生产用量</t>
        </is>
      </c>
      <c r="M7" s="9" t="inlineStr">
        <is>
          <t>用量单位及周期</t>
        </is>
      </c>
      <c r="N7" s="9" t="inlineStr">
        <is>
          <t>候选型号</t>
        </is>
      </c>
      <c r="O7" s="9" t="inlineStr">
        <is>
          <t>选型状态</t>
        </is>
      </c>
      <c r="P7" s="9" t="inlineStr">
        <is>
          <t>选型依据或技术问答编号</t>
        </is>
      </c>
      <c r="Q7" s="9" t="inlineStr">
        <is>
          <t>阶段</t>
        </is>
      </c>
      <c r="R7" s="9" t="inlineStr">
        <is>
          <t>本轮推进目标</t>
        </is>
      </c>
      <c r="S7" s="9" t="inlineStr">
        <is>
          <t>原始来源与定位</t>
        </is>
      </c>
      <c r="T7" s="9" t="inlineStr">
        <is>
          <t>关联检查〔自动〕</t>
        </is>
      </c>
    </row>
    <row r="8" ht="34" customHeight="1">
      <c r="A8" s="32" t="n"/>
      <c r="B8" s="32" t="n"/>
      <c r="C8" s="16">
        <f>IF(B8="","",IF(COUNTIF('公司'!$A$8:$A$207,B8)&lt;&gt;1,"编号缺失或重复",INDEX('公司'!$B$8:$B$207,MATCH(B8,'公司'!$A$8:$A$207,0))))</f>
        <v/>
      </c>
      <c r="D8" s="32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32" t="n"/>
      <c r="Q8" s="10" t="n"/>
      <c r="R8" s="10" t="n"/>
      <c r="S8" s="10" t="n"/>
      <c r="T8" s="16">
        <f>IF(A8="","",IF(OR(COUNTIF($A$8:$A$207,A8)&lt;&gt;1,COUNTIF('公司'!$A$8:$A$207,B8)&lt;&gt;1,AND(D8&lt;&gt;"",COUNTIF('联系人'!$A$8:$A$207,D8)&lt;&gt;1)),"检查编号或关联","正常"))</f>
        <v/>
      </c>
    </row>
    <row r="9" ht="34" customHeight="1">
      <c r="A9" s="32" t="n"/>
      <c r="B9" s="32" t="n"/>
      <c r="C9" s="16">
        <f>IF(B9="","",IF(COUNTIF('公司'!$A$8:$A$207,B9)&lt;&gt;1,"编号缺失或重复",INDEX('公司'!$B$8:$B$207,MATCH(B9,'公司'!$A$8:$A$207,0))))</f>
        <v/>
      </c>
      <c r="D9" s="32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32" t="n"/>
      <c r="Q9" s="10" t="n"/>
      <c r="R9" s="10" t="n"/>
      <c r="S9" s="10" t="n"/>
      <c r="T9" s="16">
        <f>IF(A9="","",IF(OR(COUNTIF($A$8:$A$207,A9)&lt;&gt;1,COUNTIF('公司'!$A$8:$A$207,B9)&lt;&gt;1,AND(D9&lt;&gt;"",COUNTIF('联系人'!$A$8:$A$207,D9)&lt;&gt;1)),"检查编号或关联","正常"))</f>
        <v/>
      </c>
    </row>
    <row r="10" ht="34" customHeight="1">
      <c r="A10" s="32" t="n"/>
      <c r="B10" s="32" t="n"/>
      <c r="C10" s="16">
        <f>IF(B10="","",IF(COUNTIF('公司'!$A$8:$A$207,B10)&lt;&gt;1,"编号缺失或重复",INDEX('公司'!$B$8:$B$207,MATCH(B10,'公司'!$A$8:$A$207,0))))</f>
        <v/>
      </c>
      <c r="D10" s="32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32" t="n"/>
      <c r="Q10" s="10" t="n"/>
      <c r="R10" s="10" t="n"/>
      <c r="S10" s="10" t="n"/>
      <c r="T10" s="16">
        <f>IF(A10="","",IF(OR(COUNTIF($A$8:$A$207,A10)&lt;&gt;1,COUNTIF('公司'!$A$8:$A$207,B10)&lt;&gt;1,AND(D10&lt;&gt;"",COUNTIF('联系人'!$A$8:$A$207,D10)&lt;&gt;1)),"检查编号或关联","正常"))</f>
        <v/>
      </c>
    </row>
    <row r="11" ht="34" customHeight="1">
      <c r="A11" s="32" t="n"/>
      <c r="B11" s="32" t="n"/>
      <c r="C11" s="16">
        <f>IF(B11="","",IF(COUNTIF('公司'!$A$8:$A$207,B11)&lt;&gt;1,"编号缺失或重复",INDEX('公司'!$B$8:$B$207,MATCH(B11,'公司'!$A$8:$A$207,0))))</f>
        <v/>
      </c>
      <c r="D11" s="32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32" t="n"/>
      <c r="Q11" s="10" t="n"/>
      <c r="R11" s="10" t="n"/>
      <c r="S11" s="10" t="n"/>
      <c r="T11" s="16">
        <f>IF(A11="","",IF(OR(COUNTIF($A$8:$A$207,A11)&lt;&gt;1,COUNTIF('公司'!$A$8:$A$207,B11)&lt;&gt;1,AND(D11&lt;&gt;"",COUNTIF('联系人'!$A$8:$A$207,D11)&lt;&gt;1)),"检查编号或关联","正常"))</f>
        <v/>
      </c>
    </row>
    <row r="12" ht="34" customHeight="1">
      <c r="A12" s="32" t="n"/>
      <c r="B12" s="32" t="n"/>
      <c r="C12" s="16">
        <f>IF(B12="","",IF(COUNTIF('公司'!$A$8:$A$207,B12)&lt;&gt;1,"编号缺失或重复",INDEX('公司'!$B$8:$B$207,MATCH(B12,'公司'!$A$8:$A$207,0))))</f>
        <v/>
      </c>
      <c r="D12" s="32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32" t="n"/>
      <c r="Q12" s="10" t="n"/>
      <c r="R12" s="10" t="n"/>
      <c r="S12" s="10" t="n"/>
      <c r="T12" s="16">
        <f>IF(A12="","",IF(OR(COUNTIF($A$8:$A$207,A12)&lt;&gt;1,COUNTIF('公司'!$A$8:$A$207,B12)&lt;&gt;1,AND(D12&lt;&gt;"",COUNTIF('联系人'!$A$8:$A$207,D12)&lt;&gt;1)),"检查编号或关联","正常"))</f>
        <v/>
      </c>
    </row>
    <row r="13" ht="34" customHeight="1">
      <c r="A13" s="32" t="n"/>
      <c r="B13" s="32" t="n"/>
      <c r="C13" s="16">
        <f>IF(B13="","",IF(COUNTIF('公司'!$A$8:$A$207,B13)&lt;&gt;1,"编号缺失或重复",INDEX('公司'!$B$8:$B$207,MATCH(B13,'公司'!$A$8:$A$207,0))))</f>
        <v/>
      </c>
      <c r="D13" s="32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32" t="n"/>
      <c r="Q13" s="10" t="n"/>
      <c r="R13" s="10" t="n"/>
      <c r="S13" s="10" t="n"/>
      <c r="T13" s="16">
        <f>IF(A13="","",IF(OR(COUNTIF($A$8:$A$207,A13)&lt;&gt;1,COUNTIF('公司'!$A$8:$A$207,B13)&lt;&gt;1,AND(D13&lt;&gt;"",COUNTIF('联系人'!$A$8:$A$207,D13)&lt;&gt;1)),"检查编号或关联","正常"))</f>
        <v/>
      </c>
    </row>
    <row r="14" ht="34" customHeight="1">
      <c r="A14" s="32" t="n"/>
      <c r="B14" s="32" t="n"/>
      <c r="C14" s="16">
        <f>IF(B14="","",IF(COUNTIF('公司'!$A$8:$A$207,B14)&lt;&gt;1,"编号缺失或重复",INDEX('公司'!$B$8:$B$207,MATCH(B14,'公司'!$A$8:$A$207,0))))</f>
        <v/>
      </c>
      <c r="D14" s="32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32" t="n"/>
      <c r="Q14" s="10" t="n"/>
      <c r="R14" s="10" t="n"/>
      <c r="S14" s="10" t="n"/>
      <c r="T14" s="16">
        <f>IF(A14="","",IF(OR(COUNTIF($A$8:$A$207,A14)&lt;&gt;1,COUNTIF('公司'!$A$8:$A$207,B14)&lt;&gt;1,AND(D14&lt;&gt;"",COUNTIF('联系人'!$A$8:$A$207,D14)&lt;&gt;1)),"检查编号或关联","正常"))</f>
        <v/>
      </c>
    </row>
    <row r="15" ht="34" customHeight="1">
      <c r="A15" s="32" t="n"/>
      <c r="B15" s="32" t="n"/>
      <c r="C15" s="16">
        <f>IF(B15="","",IF(COUNTIF('公司'!$A$8:$A$207,B15)&lt;&gt;1,"编号缺失或重复",INDEX('公司'!$B$8:$B$207,MATCH(B15,'公司'!$A$8:$A$207,0))))</f>
        <v/>
      </c>
      <c r="D15" s="32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32" t="n"/>
      <c r="Q15" s="10" t="n"/>
      <c r="R15" s="10" t="n"/>
      <c r="S15" s="10" t="n"/>
      <c r="T15" s="16">
        <f>IF(A15="","",IF(OR(COUNTIF($A$8:$A$207,A15)&lt;&gt;1,COUNTIF('公司'!$A$8:$A$207,B15)&lt;&gt;1,AND(D15&lt;&gt;"",COUNTIF('联系人'!$A$8:$A$207,D15)&lt;&gt;1)),"检查编号或关联","正常"))</f>
        <v/>
      </c>
    </row>
    <row r="16" ht="34" customHeight="1">
      <c r="A16" s="32" t="n"/>
      <c r="B16" s="32" t="n"/>
      <c r="C16" s="16">
        <f>IF(B16="","",IF(COUNTIF('公司'!$A$8:$A$207,B16)&lt;&gt;1,"编号缺失或重复",INDEX('公司'!$B$8:$B$207,MATCH(B16,'公司'!$A$8:$A$207,0))))</f>
        <v/>
      </c>
      <c r="D16" s="32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32" t="n"/>
      <c r="Q16" s="10" t="n"/>
      <c r="R16" s="10" t="n"/>
      <c r="S16" s="10" t="n"/>
      <c r="T16" s="16">
        <f>IF(A16="","",IF(OR(COUNTIF($A$8:$A$207,A16)&lt;&gt;1,COUNTIF('公司'!$A$8:$A$207,B16)&lt;&gt;1,AND(D16&lt;&gt;"",COUNTIF('联系人'!$A$8:$A$207,D16)&lt;&gt;1)),"检查编号或关联","正常"))</f>
        <v/>
      </c>
    </row>
    <row r="17" ht="34" customHeight="1">
      <c r="A17" s="32" t="n"/>
      <c r="B17" s="32" t="n"/>
      <c r="C17" s="16">
        <f>IF(B17="","",IF(COUNTIF('公司'!$A$8:$A$207,B17)&lt;&gt;1,"编号缺失或重复",INDEX('公司'!$B$8:$B$207,MATCH(B17,'公司'!$A$8:$A$207,0))))</f>
        <v/>
      </c>
      <c r="D17" s="32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32" t="n"/>
      <c r="Q17" s="10" t="n"/>
      <c r="R17" s="10" t="n"/>
      <c r="S17" s="10" t="n"/>
      <c r="T17" s="16">
        <f>IF(A17="","",IF(OR(COUNTIF($A$8:$A$207,A17)&lt;&gt;1,COUNTIF('公司'!$A$8:$A$207,B17)&lt;&gt;1,AND(D17&lt;&gt;"",COUNTIF('联系人'!$A$8:$A$207,D17)&lt;&gt;1)),"检查编号或关联","正常"))</f>
        <v/>
      </c>
    </row>
    <row r="18" ht="34" customHeight="1">
      <c r="A18" s="32" t="n"/>
      <c r="B18" s="32" t="n"/>
      <c r="C18" s="16">
        <f>IF(B18="","",IF(COUNTIF('公司'!$A$8:$A$207,B18)&lt;&gt;1,"编号缺失或重复",INDEX('公司'!$B$8:$B$207,MATCH(B18,'公司'!$A$8:$A$207,0))))</f>
        <v/>
      </c>
      <c r="D18" s="32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32" t="n"/>
      <c r="Q18" s="10" t="n"/>
      <c r="R18" s="10" t="n"/>
      <c r="S18" s="10" t="n"/>
      <c r="T18" s="16">
        <f>IF(A18="","",IF(OR(COUNTIF($A$8:$A$207,A18)&lt;&gt;1,COUNTIF('公司'!$A$8:$A$207,B18)&lt;&gt;1,AND(D18&lt;&gt;"",COUNTIF('联系人'!$A$8:$A$207,D18)&lt;&gt;1)),"检查编号或关联","正常"))</f>
        <v/>
      </c>
    </row>
    <row r="19" ht="34" customHeight="1">
      <c r="A19" s="32" t="n"/>
      <c r="B19" s="32" t="n"/>
      <c r="C19" s="16">
        <f>IF(B19="","",IF(COUNTIF('公司'!$A$8:$A$207,B19)&lt;&gt;1,"编号缺失或重复",INDEX('公司'!$B$8:$B$207,MATCH(B19,'公司'!$A$8:$A$207,0))))</f>
        <v/>
      </c>
      <c r="D19" s="32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32" t="n"/>
      <c r="Q19" s="10" t="n"/>
      <c r="R19" s="10" t="n"/>
      <c r="S19" s="10" t="n"/>
      <c r="T19" s="16">
        <f>IF(A19="","",IF(OR(COUNTIF($A$8:$A$207,A19)&lt;&gt;1,COUNTIF('公司'!$A$8:$A$207,B19)&lt;&gt;1,AND(D19&lt;&gt;"",COUNTIF('联系人'!$A$8:$A$207,D19)&lt;&gt;1)),"检查编号或关联","正常"))</f>
        <v/>
      </c>
    </row>
    <row r="20" ht="34" customHeight="1">
      <c r="A20" s="32" t="n"/>
      <c r="B20" s="32" t="n"/>
      <c r="C20" s="16">
        <f>IF(B20="","",IF(COUNTIF('公司'!$A$8:$A$207,B20)&lt;&gt;1,"编号缺失或重复",INDEX('公司'!$B$8:$B$207,MATCH(B20,'公司'!$A$8:$A$207,0))))</f>
        <v/>
      </c>
      <c r="D20" s="32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32" t="n"/>
      <c r="Q20" s="10" t="n"/>
      <c r="R20" s="10" t="n"/>
      <c r="S20" s="10" t="n"/>
      <c r="T20" s="16">
        <f>IF(A20="","",IF(OR(COUNTIF($A$8:$A$207,A20)&lt;&gt;1,COUNTIF('公司'!$A$8:$A$207,B20)&lt;&gt;1,AND(D20&lt;&gt;"",COUNTIF('联系人'!$A$8:$A$207,D20)&lt;&gt;1)),"检查编号或关联","正常"))</f>
        <v/>
      </c>
    </row>
    <row r="21" ht="34" customHeight="1">
      <c r="A21" s="32" t="n"/>
      <c r="B21" s="32" t="n"/>
      <c r="C21" s="16">
        <f>IF(B21="","",IF(COUNTIF('公司'!$A$8:$A$207,B21)&lt;&gt;1,"编号缺失或重复",INDEX('公司'!$B$8:$B$207,MATCH(B21,'公司'!$A$8:$A$207,0))))</f>
        <v/>
      </c>
      <c r="D21" s="32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32" t="n"/>
      <c r="Q21" s="10" t="n"/>
      <c r="R21" s="10" t="n"/>
      <c r="S21" s="10" t="n"/>
      <c r="T21" s="16">
        <f>IF(A21="","",IF(OR(COUNTIF($A$8:$A$207,A21)&lt;&gt;1,COUNTIF('公司'!$A$8:$A$207,B21)&lt;&gt;1,AND(D21&lt;&gt;"",COUNTIF('联系人'!$A$8:$A$207,D21)&lt;&gt;1)),"检查编号或关联","正常"))</f>
        <v/>
      </c>
    </row>
    <row r="22" ht="34" customHeight="1">
      <c r="A22" s="32" t="n"/>
      <c r="B22" s="32" t="n"/>
      <c r="C22" s="16">
        <f>IF(B22="","",IF(COUNTIF('公司'!$A$8:$A$207,B22)&lt;&gt;1,"编号缺失或重复",INDEX('公司'!$B$8:$B$207,MATCH(B22,'公司'!$A$8:$A$207,0))))</f>
        <v/>
      </c>
      <c r="D22" s="32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32" t="n"/>
      <c r="Q22" s="10" t="n"/>
      <c r="R22" s="10" t="n"/>
      <c r="S22" s="10" t="n"/>
      <c r="T22" s="16">
        <f>IF(A22="","",IF(OR(COUNTIF($A$8:$A$207,A22)&lt;&gt;1,COUNTIF('公司'!$A$8:$A$207,B22)&lt;&gt;1,AND(D22&lt;&gt;"",COUNTIF('联系人'!$A$8:$A$207,D22)&lt;&gt;1)),"检查编号或关联","正常"))</f>
        <v/>
      </c>
    </row>
    <row r="23" ht="34" customHeight="1">
      <c r="A23" s="32" t="n"/>
      <c r="B23" s="32" t="n"/>
      <c r="C23" s="16">
        <f>IF(B23="","",IF(COUNTIF('公司'!$A$8:$A$207,B23)&lt;&gt;1,"编号缺失或重复",INDEX('公司'!$B$8:$B$207,MATCH(B23,'公司'!$A$8:$A$207,0))))</f>
        <v/>
      </c>
      <c r="D23" s="32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32" t="n"/>
      <c r="Q23" s="10" t="n"/>
      <c r="R23" s="10" t="n"/>
      <c r="S23" s="10" t="n"/>
      <c r="T23" s="16">
        <f>IF(A23="","",IF(OR(COUNTIF($A$8:$A$207,A23)&lt;&gt;1,COUNTIF('公司'!$A$8:$A$207,B23)&lt;&gt;1,AND(D23&lt;&gt;"",COUNTIF('联系人'!$A$8:$A$207,D23)&lt;&gt;1)),"检查编号或关联","正常"))</f>
        <v/>
      </c>
    </row>
    <row r="24" ht="34" customHeight="1">
      <c r="A24" s="32" t="n"/>
      <c r="B24" s="32" t="n"/>
      <c r="C24" s="16">
        <f>IF(B24="","",IF(COUNTIF('公司'!$A$8:$A$207,B24)&lt;&gt;1,"编号缺失或重复",INDEX('公司'!$B$8:$B$207,MATCH(B24,'公司'!$A$8:$A$207,0))))</f>
        <v/>
      </c>
      <c r="D24" s="32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32" t="n"/>
      <c r="Q24" s="10" t="n"/>
      <c r="R24" s="10" t="n"/>
      <c r="S24" s="10" t="n"/>
      <c r="T24" s="16">
        <f>IF(A24="","",IF(OR(COUNTIF($A$8:$A$207,A24)&lt;&gt;1,COUNTIF('公司'!$A$8:$A$207,B24)&lt;&gt;1,AND(D24&lt;&gt;"",COUNTIF('联系人'!$A$8:$A$207,D24)&lt;&gt;1)),"检查编号或关联","正常"))</f>
        <v/>
      </c>
    </row>
    <row r="25" ht="34" customHeight="1">
      <c r="A25" s="32" t="n"/>
      <c r="B25" s="32" t="n"/>
      <c r="C25" s="16">
        <f>IF(B25="","",IF(COUNTIF('公司'!$A$8:$A$207,B25)&lt;&gt;1,"编号缺失或重复",INDEX('公司'!$B$8:$B$207,MATCH(B25,'公司'!$A$8:$A$207,0))))</f>
        <v/>
      </c>
      <c r="D25" s="32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32" t="n"/>
      <c r="Q25" s="10" t="n"/>
      <c r="R25" s="10" t="n"/>
      <c r="S25" s="10" t="n"/>
      <c r="T25" s="16">
        <f>IF(A25="","",IF(OR(COUNTIF($A$8:$A$207,A25)&lt;&gt;1,COUNTIF('公司'!$A$8:$A$207,B25)&lt;&gt;1,AND(D25&lt;&gt;"",COUNTIF('联系人'!$A$8:$A$207,D25)&lt;&gt;1)),"检查编号或关联","正常"))</f>
        <v/>
      </c>
    </row>
    <row r="26" ht="34" customHeight="1">
      <c r="A26" s="32" t="n"/>
      <c r="B26" s="32" t="n"/>
      <c r="C26" s="16">
        <f>IF(B26="","",IF(COUNTIF('公司'!$A$8:$A$207,B26)&lt;&gt;1,"编号缺失或重复",INDEX('公司'!$B$8:$B$207,MATCH(B26,'公司'!$A$8:$A$207,0))))</f>
        <v/>
      </c>
      <c r="D26" s="32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32" t="n"/>
      <c r="Q26" s="10" t="n"/>
      <c r="R26" s="10" t="n"/>
      <c r="S26" s="10" t="n"/>
      <c r="T26" s="16">
        <f>IF(A26="","",IF(OR(COUNTIF($A$8:$A$207,A26)&lt;&gt;1,COUNTIF('公司'!$A$8:$A$207,B26)&lt;&gt;1,AND(D26&lt;&gt;"",COUNTIF('联系人'!$A$8:$A$207,D26)&lt;&gt;1)),"检查编号或关联","正常"))</f>
        <v/>
      </c>
    </row>
    <row r="27" ht="34" customHeight="1">
      <c r="A27" s="32" t="n"/>
      <c r="B27" s="32" t="n"/>
      <c r="C27" s="16">
        <f>IF(B27="","",IF(COUNTIF('公司'!$A$8:$A$207,B27)&lt;&gt;1,"编号缺失或重复",INDEX('公司'!$B$8:$B$207,MATCH(B27,'公司'!$A$8:$A$207,0))))</f>
        <v/>
      </c>
      <c r="D27" s="32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32" t="n"/>
      <c r="Q27" s="10" t="n"/>
      <c r="R27" s="10" t="n"/>
      <c r="S27" s="10" t="n"/>
      <c r="T27" s="16">
        <f>IF(A27="","",IF(OR(COUNTIF($A$8:$A$207,A27)&lt;&gt;1,COUNTIF('公司'!$A$8:$A$207,B27)&lt;&gt;1,AND(D27&lt;&gt;"",COUNTIF('联系人'!$A$8:$A$207,D27)&lt;&gt;1)),"检查编号或关联","正常"))</f>
        <v/>
      </c>
    </row>
    <row r="28" ht="34" customHeight="1">
      <c r="A28" s="32" t="n"/>
      <c r="B28" s="32" t="n"/>
      <c r="C28" s="16">
        <f>IF(B28="","",IF(COUNTIF('公司'!$A$8:$A$207,B28)&lt;&gt;1,"编号缺失或重复",INDEX('公司'!$B$8:$B$207,MATCH(B28,'公司'!$A$8:$A$207,0))))</f>
        <v/>
      </c>
      <c r="D28" s="32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32" t="n"/>
      <c r="Q28" s="10" t="n"/>
      <c r="R28" s="10" t="n"/>
      <c r="S28" s="10" t="n"/>
      <c r="T28" s="16">
        <f>IF(A28="","",IF(OR(COUNTIF($A$8:$A$207,A28)&lt;&gt;1,COUNTIF('公司'!$A$8:$A$207,B28)&lt;&gt;1,AND(D28&lt;&gt;"",COUNTIF('联系人'!$A$8:$A$207,D28)&lt;&gt;1)),"检查编号或关联","正常"))</f>
        <v/>
      </c>
    </row>
    <row r="29" ht="34" customHeight="1">
      <c r="A29" s="32" t="n"/>
      <c r="B29" s="32" t="n"/>
      <c r="C29" s="16">
        <f>IF(B29="","",IF(COUNTIF('公司'!$A$8:$A$207,B29)&lt;&gt;1,"编号缺失或重复",INDEX('公司'!$B$8:$B$207,MATCH(B29,'公司'!$A$8:$A$207,0))))</f>
        <v/>
      </c>
      <c r="D29" s="32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32" t="n"/>
      <c r="Q29" s="10" t="n"/>
      <c r="R29" s="10" t="n"/>
      <c r="S29" s="10" t="n"/>
      <c r="T29" s="16">
        <f>IF(A29="","",IF(OR(COUNTIF($A$8:$A$207,A29)&lt;&gt;1,COUNTIF('公司'!$A$8:$A$207,B29)&lt;&gt;1,AND(D29&lt;&gt;"",COUNTIF('联系人'!$A$8:$A$207,D29)&lt;&gt;1)),"检查编号或关联","正常"))</f>
        <v/>
      </c>
    </row>
    <row r="30" ht="34" customHeight="1">
      <c r="A30" s="32" t="n"/>
      <c r="B30" s="32" t="n"/>
      <c r="C30" s="16">
        <f>IF(B30="","",IF(COUNTIF('公司'!$A$8:$A$207,B30)&lt;&gt;1,"编号缺失或重复",INDEX('公司'!$B$8:$B$207,MATCH(B30,'公司'!$A$8:$A$207,0))))</f>
        <v/>
      </c>
      <c r="D30" s="32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32" t="n"/>
      <c r="Q30" s="10" t="n"/>
      <c r="R30" s="10" t="n"/>
      <c r="S30" s="10" t="n"/>
      <c r="T30" s="16">
        <f>IF(A30="","",IF(OR(COUNTIF($A$8:$A$207,A30)&lt;&gt;1,COUNTIF('公司'!$A$8:$A$207,B30)&lt;&gt;1,AND(D30&lt;&gt;"",COUNTIF('联系人'!$A$8:$A$207,D30)&lt;&gt;1)),"检查编号或关联","正常"))</f>
        <v/>
      </c>
    </row>
    <row r="31" ht="34" customHeight="1">
      <c r="A31" s="32" t="n"/>
      <c r="B31" s="32" t="n"/>
      <c r="C31" s="16">
        <f>IF(B31="","",IF(COUNTIF('公司'!$A$8:$A$207,B31)&lt;&gt;1,"编号缺失或重复",INDEX('公司'!$B$8:$B$207,MATCH(B31,'公司'!$A$8:$A$207,0))))</f>
        <v/>
      </c>
      <c r="D31" s="32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32" t="n"/>
      <c r="Q31" s="10" t="n"/>
      <c r="R31" s="10" t="n"/>
      <c r="S31" s="10" t="n"/>
      <c r="T31" s="16">
        <f>IF(A31="","",IF(OR(COUNTIF($A$8:$A$207,A31)&lt;&gt;1,COUNTIF('公司'!$A$8:$A$207,B31)&lt;&gt;1,AND(D31&lt;&gt;"",COUNTIF('联系人'!$A$8:$A$207,D31)&lt;&gt;1)),"检查编号或关联","正常"))</f>
        <v/>
      </c>
    </row>
    <row r="32" ht="34" customHeight="1">
      <c r="A32" s="32" t="n"/>
      <c r="B32" s="32" t="n"/>
      <c r="C32" s="16">
        <f>IF(B32="","",IF(COUNTIF('公司'!$A$8:$A$207,B32)&lt;&gt;1,"编号缺失或重复",INDEX('公司'!$B$8:$B$207,MATCH(B32,'公司'!$A$8:$A$207,0))))</f>
        <v/>
      </c>
      <c r="D32" s="32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32" t="n"/>
      <c r="Q32" s="10" t="n"/>
      <c r="R32" s="10" t="n"/>
      <c r="S32" s="10" t="n"/>
      <c r="T32" s="16">
        <f>IF(A32="","",IF(OR(COUNTIF($A$8:$A$207,A32)&lt;&gt;1,COUNTIF('公司'!$A$8:$A$207,B32)&lt;&gt;1,AND(D32&lt;&gt;"",COUNTIF('联系人'!$A$8:$A$207,D32)&lt;&gt;1)),"检查编号或关联","正常"))</f>
        <v/>
      </c>
    </row>
    <row r="33" ht="34" customHeight="1">
      <c r="A33" s="32" t="n"/>
      <c r="B33" s="32" t="n"/>
      <c r="C33" s="16">
        <f>IF(B33="","",IF(COUNTIF('公司'!$A$8:$A$207,B33)&lt;&gt;1,"编号缺失或重复",INDEX('公司'!$B$8:$B$207,MATCH(B33,'公司'!$A$8:$A$207,0))))</f>
        <v/>
      </c>
      <c r="D33" s="32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32" t="n"/>
      <c r="Q33" s="10" t="n"/>
      <c r="R33" s="10" t="n"/>
      <c r="S33" s="10" t="n"/>
      <c r="T33" s="16">
        <f>IF(A33="","",IF(OR(COUNTIF($A$8:$A$207,A33)&lt;&gt;1,COUNTIF('公司'!$A$8:$A$207,B33)&lt;&gt;1,AND(D33&lt;&gt;"",COUNTIF('联系人'!$A$8:$A$207,D33)&lt;&gt;1)),"检查编号或关联","正常"))</f>
        <v/>
      </c>
    </row>
    <row r="34" ht="34" customHeight="1">
      <c r="A34" s="32" t="n"/>
      <c r="B34" s="32" t="n"/>
      <c r="C34" s="16">
        <f>IF(B34="","",IF(COUNTIF('公司'!$A$8:$A$207,B34)&lt;&gt;1,"编号缺失或重复",INDEX('公司'!$B$8:$B$207,MATCH(B34,'公司'!$A$8:$A$207,0))))</f>
        <v/>
      </c>
      <c r="D34" s="32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32" t="n"/>
      <c r="Q34" s="10" t="n"/>
      <c r="R34" s="10" t="n"/>
      <c r="S34" s="10" t="n"/>
      <c r="T34" s="16">
        <f>IF(A34="","",IF(OR(COUNTIF($A$8:$A$207,A34)&lt;&gt;1,COUNTIF('公司'!$A$8:$A$207,B34)&lt;&gt;1,AND(D34&lt;&gt;"",COUNTIF('联系人'!$A$8:$A$207,D34)&lt;&gt;1)),"检查编号或关联","正常"))</f>
        <v/>
      </c>
    </row>
    <row r="35" ht="34" customHeight="1">
      <c r="A35" s="32" t="n"/>
      <c r="B35" s="32" t="n"/>
      <c r="C35" s="16">
        <f>IF(B35="","",IF(COUNTIF('公司'!$A$8:$A$207,B35)&lt;&gt;1,"编号缺失或重复",INDEX('公司'!$B$8:$B$207,MATCH(B35,'公司'!$A$8:$A$207,0))))</f>
        <v/>
      </c>
      <c r="D35" s="32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32" t="n"/>
      <c r="Q35" s="10" t="n"/>
      <c r="R35" s="10" t="n"/>
      <c r="S35" s="10" t="n"/>
      <c r="T35" s="16">
        <f>IF(A35="","",IF(OR(COUNTIF($A$8:$A$207,A35)&lt;&gt;1,COUNTIF('公司'!$A$8:$A$207,B35)&lt;&gt;1,AND(D35&lt;&gt;"",COUNTIF('联系人'!$A$8:$A$207,D35)&lt;&gt;1)),"检查编号或关联","正常"))</f>
        <v/>
      </c>
    </row>
    <row r="36" ht="34" customHeight="1">
      <c r="A36" s="32" t="n"/>
      <c r="B36" s="32" t="n"/>
      <c r="C36" s="16">
        <f>IF(B36="","",IF(COUNTIF('公司'!$A$8:$A$207,B36)&lt;&gt;1,"编号缺失或重复",INDEX('公司'!$B$8:$B$207,MATCH(B36,'公司'!$A$8:$A$207,0))))</f>
        <v/>
      </c>
      <c r="D36" s="32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32" t="n"/>
      <c r="Q36" s="10" t="n"/>
      <c r="R36" s="10" t="n"/>
      <c r="S36" s="10" t="n"/>
      <c r="T36" s="16">
        <f>IF(A36="","",IF(OR(COUNTIF($A$8:$A$207,A36)&lt;&gt;1,COUNTIF('公司'!$A$8:$A$207,B36)&lt;&gt;1,AND(D36&lt;&gt;"",COUNTIF('联系人'!$A$8:$A$207,D36)&lt;&gt;1)),"检查编号或关联","正常"))</f>
        <v/>
      </c>
    </row>
    <row r="37" ht="34" customHeight="1">
      <c r="A37" s="32" t="n"/>
      <c r="B37" s="32" t="n"/>
      <c r="C37" s="16">
        <f>IF(B37="","",IF(COUNTIF('公司'!$A$8:$A$207,B37)&lt;&gt;1,"编号缺失或重复",INDEX('公司'!$B$8:$B$207,MATCH(B37,'公司'!$A$8:$A$207,0))))</f>
        <v/>
      </c>
      <c r="D37" s="32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32" t="n"/>
      <c r="Q37" s="10" t="n"/>
      <c r="R37" s="10" t="n"/>
      <c r="S37" s="10" t="n"/>
      <c r="T37" s="16">
        <f>IF(A37="","",IF(OR(COUNTIF($A$8:$A$207,A37)&lt;&gt;1,COUNTIF('公司'!$A$8:$A$207,B37)&lt;&gt;1,AND(D37&lt;&gt;"",COUNTIF('联系人'!$A$8:$A$207,D37)&lt;&gt;1)),"检查编号或关联","正常"))</f>
        <v/>
      </c>
    </row>
    <row r="38" ht="34" customHeight="1">
      <c r="A38" s="32" t="n"/>
      <c r="B38" s="32" t="n"/>
      <c r="C38" s="16">
        <f>IF(B38="","",IF(COUNTIF('公司'!$A$8:$A$207,B38)&lt;&gt;1,"编号缺失或重复",INDEX('公司'!$B$8:$B$207,MATCH(B38,'公司'!$A$8:$A$207,0))))</f>
        <v/>
      </c>
      <c r="D38" s="32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32" t="n"/>
      <c r="Q38" s="10" t="n"/>
      <c r="R38" s="10" t="n"/>
      <c r="S38" s="10" t="n"/>
      <c r="T38" s="16">
        <f>IF(A38="","",IF(OR(COUNTIF($A$8:$A$207,A38)&lt;&gt;1,COUNTIF('公司'!$A$8:$A$207,B38)&lt;&gt;1,AND(D38&lt;&gt;"",COUNTIF('联系人'!$A$8:$A$207,D38)&lt;&gt;1)),"检查编号或关联","正常"))</f>
        <v/>
      </c>
    </row>
    <row r="39" ht="34" customHeight="1">
      <c r="A39" s="32" t="n"/>
      <c r="B39" s="32" t="n"/>
      <c r="C39" s="16">
        <f>IF(B39="","",IF(COUNTIF('公司'!$A$8:$A$207,B39)&lt;&gt;1,"编号缺失或重复",INDEX('公司'!$B$8:$B$207,MATCH(B39,'公司'!$A$8:$A$207,0))))</f>
        <v/>
      </c>
      <c r="D39" s="32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32" t="n"/>
      <c r="Q39" s="10" t="n"/>
      <c r="R39" s="10" t="n"/>
      <c r="S39" s="10" t="n"/>
      <c r="T39" s="16">
        <f>IF(A39="","",IF(OR(COUNTIF($A$8:$A$207,A39)&lt;&gt;1,COUNTIF('公司'!$A$8:$A$207,B39)&lt;&gt;1,AND(D39&lt;&gt;"",COUNTIF('联系人'!$A$8:$A$207,D39)&lt;&gt;1)),"检查编号或关联","正常"))</f>
        <v/>
      </c>
    </row>
    <row r="40" ht="34" customHeight="1">
      <c r="A40" s="32" t="n"/>
      <c r="B40" s="32" t="n"/>
      <c r="C40" s="16">
        <f>IF(B40="","",IF(COUNTIF('公司'!$A$8:$A$207,B40)&lt;&gt;1,"编号缺失或重复",INDEX('公司'!$B$8:$B$207,MATCH(B40,'公司'!$A$8:$A$207,0))))</f>
        <v/>
      </c>
      <c r="D40" s="32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32" t="n"/>
      <c r="Q40" s="10" t="n"/>
      <c r="R40" s="10" t="n"/>
      <c r="S40" s="10" t="n"/>
      <c r="T40" s="16">
        <f>IF(A40="","",IF(OR(COUNTIF($A$8:$A$207,A40)&lt;&gt;1,COUNTIF('公司'!$A$8:$A$207,B40)&lt;&gt;1,AND(D40&lt;&gt;"",COUNTIF('联系人'!$A$8:$A$207,D40)&lt;&gt;1)),"检查编号或关联","正常"))</f>
        <v/>
      </c>
    </row>
    <row r="41" ht="34" customHeight="1">
      <c r="A41" s="32" t="n"/>
      <c r="B41" s="32" t="n"/>
      <c r="C41" s="16">
        <f>IF(B41="","",IF(COUNTIF('公司'!$A$8:$A$207,B41)&lt;&gt;1,"编号缺失或重复",INDEX('公司'!$B$8:$B$207,MATCH(B41,'公司'!$A$8:$A$207,0))))</f>
        <v/>
      </c>
      <c r="D41" s="32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32" t="n"/>
      <c r="Q41" s="10" t="n"/>
      <c r="R41" s="10" t="n"/>
      <c r="S41" s="10" t="n"/>
      <c r="T41" s="16">
        <f>IF(A41="","",IF(OR(COUNTIF($A$8:$A$207,A41)&lt;&gt;1,COUNTIF('公司'!$A$8:$A$207,B41)&lt;&gt;1,AND(D41&lt;&gt;"",COUNTIF('联系人'!$A$8:$A$207,D41)&lt;&gt;1)),"检查编号或关联","正常"))</f>
        <v/>
      </c>
    </row>
    <row r="42" ht="34" customHeight="1">
      <c r="A42" s="32" t="n"/>
      <c r="B42" s="32" t="n"/>
      <c r="C42" s="16">
        <f>IF(B42="","",IF(COUNTIF('公司'!$A$8:$A$207,B42)&lt;&gt;1,"编号缺失或重复",INDEX('公司'!$B$8:$B$207,MATCH(B42,'公司'!$A$8:$A$207,0))))</f>
        <v/>
      </c>
      <c r="D42" s="32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32" t="n"/>
      <c r="Q42" s="10" t="n"/>
      <c r="R42" s="10" t="n"/>
      <c r="S42" s="10" t="n"/>
      <c r="T42" s="16">
        <f>IF(A42="","",IF(OR(COUNTIF($A$8:$A$207,A42)&lt;&gt;1,COUNTIF('公司'!$A$8:$A$207,B42)&lt;&gt;1,AND(D42&lt;&gt;"",COUNTIF('联系人'!$A$8:$A$207,D42)&lt;&gt;1)),"检查编号或关联","正常"))</f>
        <v/>
      </c>
    </row>
    <row r="43" ht="34" customHeight="1">
      <c r="A43" s="32" t="n"/>
      <c r="B43" s="32" t="n"/>
      <c r="C43" s="16">
        <f>IF(B43="","",IF(COUNTIF('公司'!$A$8:$A$207,B43)&lt;&gt;1,"编号缺失或重复",INDEX('公司'!$B$8:$B$207,MATCH(B43,'公司'!$A$8:$A$207,0))))</f>
        <v/>
      </c>
      <c r="D43" s="32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32" t="n"/>
      <c r="Q43" s="10" t="n"/>
      <c r="R43" s="10" t="n"/>
      <c r="S43" s="10" t="n"/>
      <c r="T43" s="16">
        <f>IF(A43="","",IF(OR(COUNTIF($A$8:$A$207,A43)&lt;&gt;1,COUNTIF('公司'!$A$8:$A$207,B43)&lt;&gt;1,AND(D43&lt;&gt;"",COUNTIF('联系人'!$A$8:$A$207,D43)&lt;&gt;1)),"检查编号或关联","正常"))</f>
        <v/>
      </c>
    </row>
    <row r="44" ht="34" customHeight="1">
      <c r="A44" s="32" t="n"/>
      <c r="B44" s="32" t="n"/>
      <c r="C44" s="16">
        <f>IF(B44="","",IF(COUNTIF('公司'!$A$8:$A$207,B44)&lt;&gt;1,"编号缺失或重复",INDEX('公司'!$B$8:$B$207,MATCH(B44,'公司'!$A$8:$A$207,0))))</f>
        <v/>
      </c>
      <c r="D44" s="32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32" t="n"/>
      <c r="Q44" s="10" t="n"/>
      <c r="R44" s="10" t="n"/>
      <c r="S44" s="10" t="n"/>
      <c r="T44" s="16">
        <f>IF(A44="","",IF(OR(COUNTIF($A$8:$A$207,A44)&lt;&gt;1,COUNTIF('公司'!$A$8:$A$207,B44)&lt;&gt;1,AND(D44&lt;&gt;"",COUNTIF('联系人'!$A$8:$A$207,D44)&lt;&gt;1)),"检查编号或关联","正常"))</f>
        <v/>
      </c>
    </row>
    <row r="45" ht="34" customHeight="1">
      <c r="A45" s="32" t="n"/>
      <c r="B45" s="32" t="n"/>
      <c r="C45" s="16">
        <f>IF(B45="","",IF(COUNTIF('公司'!$A$8:$A$207,B45)&lt;&gt;1,"编号缺失或重复",INDEX('公司'!$B$8:$B$207,MATCH(B45,'公司'!$A$8:$A$207,0))))</f>
        <v/>
      </c>
      <c r="D45" s="32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32" t="n"/>
      <c r="Q45" s="10" t="n"/>
      <c r="R45" s="10" t="n"/>
      <c r="S45" s="10" t="n"/>
      <c r="T45" s="16">
        <f>IF(A45="","",IF(OR(COUNTIF($A$8:$A$207,A45)&lt;&gt;1,COUNTIF('公司'!$A$8:$A$207,B45)&lt;&gt;1,AND(D45&lt;&gt;"",COUNTIF('联系人'!$A$8:$A$207,D45)&lt;&gt;1)),"检查编号或关联","正常"))</f>
        <v/>
      </c>
    </row>
    <row r="46" ht="34" customHeight="1">
      <c r="A46" s="32" t="n"/>
      <c r="B46" s="32" t="n"/>
      <c r="C46" s="16">
        <f>IF(B46="","",IF(COUNTIF('公司'!$A$8:$A$207,B46)&lt;&gt;1,"编号缺失或重复",INDEX('公司'!$B$8:$B$207,MATCH(B46,'公司'!$A$8:$A$207,0))))</f>
        <v/>
      </c>
      <c r="D46" s="32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32" t="n"/>
      <c r="Q46" s="10" t="n"/>
      <c r="R46" s="10" t="n"/>
      <c r="S46" s="10" t="n"/>
      <c r="T46" s="16">
        <f>IF(A46="","",IF(OR(COUNTIF($A$8:$A$207,A46)&lt;&gt;1,COUNTIF('公司'!$A$8:$A$207,B46)&lt;&gt;1,AND(D46&lt;&gt;"",COUNTIF('联系人'!$A$8:$A$207,D46)&lt;&gt;1)),"检查编号或关联","正常"))</f>
        <v/>
      </c>
    </row>
    <row r="47" ht="34" customHeight="1">
      <c r="A47" s="32" t="n"/>
      <c r="B47" s="32" t="n"/>
      <c r="C47" s="16">
        <f>IF(B47="","",IF(COUNTIF('公司'!$A$8:$A$207,B47)&lt;&gt;1,"编号缺失或重复",INDEX('公司'!$B$8:$B$207,MATCH(B47,'公司'!$A$8:$A$207,0))))</f>
        <v/>
      </c>
      <c r="D47" s="32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32" t="n"/>
      <c r="Q47" s="10" t="n"/>
      <c r="R47" s="10" t="n"/>
      <c r="S47" s="10" t="n"/>
      <c r="T47" s="16">
        <f>IF(A47="","",IF(OR(COUNTIF($A$8:$A$207,A47)&lt;&gt;1,COUNTIF('公司'!$A$8:$A$207,B47)&lt;&gt;1,AND(D47&lt;&gt;"",COUNTIF('联系人'!$A$8:$A$207,D47)&lt;&gt;1)),"检查编号或关联","正常"))</f>
        <v/>
      </c>
    </row>
    <row r="48" ht="34" customHeight="1">
      <c r="A48" s="32" t="n"/>
      <c r="B48" s="32" t="n"/>
      <c r="C48" s="16">
        <f>IF(B48="","",IF(COUNTIF('公司'!$A$8:$A$207,B48)&lt;&gt;1,"编号缺失或重复",INDEX('公司'!$B$8:$B$207,MATCH(B48,'公司'!$A$8:$A$207,0))))</f>
        <v/>
      </c>
      <c r="D48" s="32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32" t="n"/>
      <c r="Q48" s="10" t="n"/>
      <c r="R48" s="10" t="n"/>
      <c r="S48" s="10" t="n"/>
      <c r="T48" s="16">
        <f>IF(A48="","",IF(OR(COUNTIF($A$8:$A$207,A48)&lt;&gt;1,COUNTIF('公司'!$A$8:$A$207,B48)&lt;&gt;1,AND(D48&lt;&gt;"",COUNTIF('联系人'!$A$8:$A$207,D48)&lt;&gt;1)),"检查编号或关联","正常"))</f>
        <v/>
      </c>
    </row>
    <row r="49" ht="34" customHeight="1">
      <c r="A49" s="32" t="n"/>
      <c r="B49" s="32" t="n"/>
      <c r="C49" s="16">
        <f>IF(B49="","",IF(COUNTIF('公司'!$A$8:$A$207,B49)&lt;&gt;1,"编号缺失或重复",INDEX('公司'!$B$8:$B$207,MATCH(B49,'公司'!$A$8:$A$207,0))))</f>
        <v/>
      </c>
      <c r="D49" s="32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32" t="n"/>
      <c r="Q49" s="10" t="n"/>
      <c r="R49" s="10" t="n"/>
      <c r="S49" s="10" t="n"/>
      <c r="T49" s="16">
        <f>IF(A49="","",IF(OR(COUNTIF($A$8:$A$207,A49)&lt;&gt;1,COUNTIF('公司'!$A$8:$A$207,B49)&lt;&gt;1,AND(D49&lt;&gt;"",COUNTIF('联系人'!$A$8:$A$207,D49)&lt;&gt;1)),"检查编号或关联","正常"))</f>
        <v/>
      </c>
    </row>
    <row r="50" ht="34" customHeight="1">
      <c r="A50" s="32" t="n"/>
      <c r="B50" s="32" t="n"/>
      <c r="C50" s="16">
        <f>IF(B50="","",IF(COUNTIF('公司'!$A$8:$A$207,B50)&lt;&gt;1,"编号缺失或重复",INDEX('公司'!$B$8:$B$207,MATCH(B50,'公司'!$A$8:$A$207,0))))</f>
        <v/>
      </c>
      <c r="D50" s="32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32" t="n"/>
      <c r="Q50" s="10" t="n"/>
      <c r="R50" s="10" t="n"/>
      <c r="S50" s="10" t="n"/>
      <c r="T50" s="16">
        <f>IF(A50="","",IF(OR(COUNTIF($A$8:$A$207,A50)&lt;&gt;1,COUNTIF('公司'!$A$8:$A$207,B50)&lt;&gt;1,AND(D50&lt;&gt;"",COUNTIF('联系人'!$A$8:$A$207,D50)&lt;&gt;1)),"检查编号或关联","正常"))</f>
        <v/>
      </c>
    </row>
    <row r="51" ht="34" customHeight="1">
      <c r="A51" s="32" t="n"/>
      <c r="B51" s="32" t="n"/>
      <c r="C51" s="16">
        <f>IF(B51="","",IF(COUNTIF('公司'!$A$8:$A$207,B51)&lt;&gt;1,"编号缺失或重复",INDEX('公司'!$B$8:$B$207,MATCH(B51,'公司'!$A$8:$A$207,0))))</f>
        <v/>
      </c>
      <c r="D51" s="32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32" t="n"/>
      <c r="Q51" s="10" t="n"/>
      <c r="R51" s="10" t="n"/>
      <c r="S51" s="10" t="n"/>
      <c r="T51" s="16">
        <f>IF(A51="","",IF(OR(COUNTIF($A$8:$A$207,A51)&lt;&gt;1,COUNTIF('公司'!$A$8:$A$207,B51)&lt;&gt;1,AND(D51&lt;&gt;"",COUNTIF('联系人'!$A$8:$A$207,D51)&lt;&gt;1)),"检查编号或关联","正常"))</f>
        <v/>
      </c>
    </row>
    <row r="52" ht="34" customHeight="1">
      <c r="A52" s="32" t="n"/>
      <c r="B52" s="32" t="n"/>
      <c r="C52" s="16">
        <f>IF(B52="","",IF(COUNTIF('公司'!$A$8:$A$207,B52)&lt;&gt;1,"编号缺失或重复",INDEX('公司'!$B$8:$B$207,MATCH(B52,'公司'!$A$8:$A$207,0))))</f>
        <v/>
      </c>
      <c r="D52" s="32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32" t="n"/>
      <c r="Q52" s="10" t="n"/>
      <c r="R52" s="10" t="n"/>
      <c r="S52" s="10" t="n"/>
      <c r="T52" s="16">
        <f>IF(A52="","",IF(OR(COUNTIF($A$8:$A$207,A52)&lt;&gt;1,COUNTIF('公司'!$A$8:$A$207,B52)&lt;&gt;1,AND(D52&lt;&gt;"",COUNTIF('联系人'!$A$8:$A$207,D52)&lt;&gt;1)),"检查编号或关联","正常"))</f>
        <v/>
      </c>
    </row>
    <row r="53" ht="34" customHeight="1">
      <c r="A53" s="32" t="n"/>
      <c r="B53" s="32" t="n"/>
      <c r="C53" s="16">
        <f>IF(B53="","",IF(COUNTIF('公司'!$A$8:$A$207,B53)&lt;&gt;1,"编号缺失或重复",INDEX('公司'!$B$8:$B$207,MATCH(B53,'公司'!$A$8:$A$207,0))))</f>
        <v/>
      </c>
      <c r="D53" s="32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32" t="n"/>
      <c r="Q53" s="10" t="n"/>
      <c r="R53" s="10" t="n"/>
      <c r="S53" s="10" t="n"/>
      <c r="T53" s="16">
        <f>IF(A53="","",IF(OR(COUNTIF($A$8:$A$207,A53)&lt;&gt;1,COUNTIF('公司'!$A$8:$A$207,B53)&lt;&gt;1,AND(D53&lt;&gt;"",COUNTIF('联系人'!$A$8:$A$207,D53)&lt;&gt;1)),"检查编号或关联","正常"))</f>
        <v/>
      </c>
    </row>
    <row r="54" ht="34" customHeight="1">
      <c r="A54" s="32" t="n"/>
      <c r="B54" s="32" t="n"/>
      <c r="C54" s="16">
        <f>IF(B54="","",IF(COUNTIF('公司'!$A$8:$A$207,B54)&lt;&gt;1,"编号缺失或重复",INDEX('公司'!$B$8:$B$207,MATCH(B54,'公司'!$A$8:$A$207,0))))</f>
        <v/>
      </c>
      <c r="D54" s="32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32" t="n"/>
      <c r="Q54" s="10" t="n"/>
      <c r="R54" s="10" t="n"/>
      <c r="S54" s="10" t="n"/>
      <c r="T54" s="16">
        <f>IF(A54="","",IF(OR(COUNTIF($A$8:$A$207,A54)&lt;&gt;1,COUNTIF('公司'!$A$8:$A$207,B54)&lt;&gt;1,AND(D54&lt;&gt;"",COUNTIF('联系人'!$A$8:$A$207,D54)&lt;&gt;1)),"检查编号或关联","正常"))</f>
        <v/>
      </c>
    </row>
    <row r="55" ht="34" customHeight="1">
      <c r="A55" s="32" t="n"/>
      <c r="B55" s="32" t="n"/>
      <c r="C55" s="16">
        <f>IF(B55="","",IF(COUNTIF('公司'!$A$8:$A$207,B55)&lt;&gt;1,"编号缺失或重复",INDEX('公司'!$B$8:$B$207,MATCH(B55,'公司'!$A$8:$A$207,0))))</f>
        <v/>
      </c>
      <c r="D55" s="32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32" t="n"/>
      <c r="Q55" s="10" t="n"/>
      <c r="R55" s="10" t="n"/>
      <c r="S55" s="10" t="n"/>
      <c r="T55" s="16">
        <f>IF(A55="","",IF(OR(COUNTIF($A$8:$A$207,A55)&lt;&gt;1,COUNTIF('公司'!$A$8:$A$207,B55)&lt;&gt;1,AND(D55&lt;&gt;"",COUNTIF('联系人'!$A$8:$A$207,D55)&lt;&gt;1)),"检查编号或关联","正常"))</f>
        <v/>
      </c>
    </row>
    <row r="56" ht="34" customHeight="1">
      <c r="A56" s="32" t="n"/>
      <c r="B56" s="32" t="n"/>
      <c r="C56" s="16">
        <f>IF(B56="","",IF(COUNTIF('公司'!$A$8:$A$207,B56)&lt;&gt;1,"编号缺失或重复",INDEX('公司'!$B$8:$B$207,MATCH(B56,'公司'!$A$8:$A$207,0))))</f>
        <v/>
      </c>
      <c r="D56" s="32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32" t="n"/>
      <c r="Q56" s="10" t="n"/>
      <c r="R56" s="10" t="n"/>
      <c r="S56" s="10" t="n"/>
      <c r="T56" s="16">
        <f>IF(A56="","",IF(OR(COUNTIF($A$8:$A$207,A56)&lt;&gt;1,COUNTIF('公司'!$A$8:$A$207,B56)&lt;&gt;1,AND(D56&lt;&gt;"",COUNTIF('联系人'!$A$8:$A$207,D56)&lt;&gt;1)),"检查编号或关联","正常"))</f>
        <v/>
      </c>
    </row>
    <row r="57" ht="34" customHeight="1">
      <c r="A57" s="32" t="n"/>
      <c r="B57" s="32" t="n"/>
      <c r="C57" s="16">
        <f>IF(B57="","",IF(COUNTIF('公司'!$A$8:$A$207,B57)&lt;&gt;1,"编号缺失或重复",INDEX('公司'!$B$8:$B$207,MATCH(B57,'公司'!$A$8:$A$207,0))))</f>
        <v/>
      </c>
      <c r="D57" s="32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32" t="n"/>
      <c r="Q57" s="10" t="n"/>
      <c r="R57" s="10" t="n"/>
      <c r="S57" s="10" t="n"/>
      <c r="T57" s="16">
        <f>IF(A57="","",IF(OR(COUNTIF($A$8:$A$207,A57)&lt;&gt;1,COUNTIF('公司'!$A$8:$A$207,B57)&lt;&gt;1,AND(D57&lt;&gt;"",COUNTIF('联系人'!$A$8:$A$207,D57)&lt;&gt;1)),"检查编号或关联","正常"))</f>
        <v/>
      </c>
    </row>
    <row r="58" ht="34" customHeight="1">
      <c r="A58" s="32" t="n"/>
      <c r="B58" s="32" t="n"/>
      <c r="C58" s="16">
        <f>IF(B58="","",IF(COUNTIF('公司'!$A$8:$A$207,B58)&lt;&gt;1,"编号缺失或重复",INDEX('公司'!$B$8:$B$207,MATCH(B58,'公司'!$A$8:$A$207,0))))</f>
        <v/>
      </c>
      <c r="D58" s="32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32" t="n"/>
      <c r="Q58" s="10" t="n"/>
      <c r="R58" s="10" t="n"/>
      <c r="S58" s="10" t="n"/>
      <c r="T58" s="16">
        <f>IF(A58="","",IF(OR(COUNTIF($A$8:$A$207,A58)&lt;&gt;1,COUNTIF('公司'!$A$8:$A$207,B58)&lt;&gt;1,AND(D58&lt;&gt;"",COUNTIF('联系人'!$A$8:$A$207,D58)&lt;&gt;1)),"检查编号或关联","正常"))</f>
        <v/>
      </c>
    </row>
    <row r="59" ht="34" customHeight="1">
      <c r="A59" s="32" t="n"/>
      <c r="B59" s="32" t="n"/>
      <c r="C59" s="16">
        <f>IF(B59="","",IF(COUNTIF('公司'!$A$8:$A$207,B59)&lt;&gt;1,"编号缺失或重复",INDEX('公司'!$B$8:$B$207,MATCH(B59,'公司'!$A$8:$A$207,0))))</f>
        <v/>
      </c>
      <c r="D59" s="32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32" t="n"/>
      <c r="Q59" s="10" t="n"/>
      <c r="R59" s="10" t="n"/>
      <c r="S59" s="10" t="n"/>
      <c r="T59" s="16">
        <f>IF(A59="","",IF(OR(COUNTIF($A$8:$A$207,A59)&lt;&gt;1,COUNTIF('公司'!$A$8:$A$207,B59)&lt;&gt;1,AND(D59&lt;&gt;"",COUNTIF('联系人'!$A$8:$A$207,D59)&lt;&gt;1)),"检查编号或关联","正常"))</f>
        <v/>
      </c>
    </row>
    <row r="60" ht="34" customHeight="1">
      <c r="A60" s="32" t="n"/>
      <c r="B60" s="32" t="n"/>
      <c r="C60" s="16">
        <f>IF(B60="","",IF(COUNTIF('公司'!$A$8:$A$207,B60)&lt;&gt;1,"编号缺失或重复",INDEX('公司'!$B$8:$B$207,MATCH(B60,'公司'!$A$8:$A$207,0))))</f>
        <v/>
      </c>
      <c r="D60" s="32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32" t="n"/>
      <c r="Q60" s="10" t="n"/>
      <c r="R60" s="10" t="n"/>
      <c r="S60" s="10" t="n"/>
      <c r="T60" s="16">
        <f>IF(A60="","",IF(OR(COUNTIF($A$8:$A$207,A60)&lt;&gt;1,COUNTIF('公司'!$A$8:$A$207,B60)&lt;&gt;1,AND(D60&lt;&gt;"",COUNTIF('联系人'!$A$8:$A$207,D60)&lt;&gt;1)),"检查编号或关联","正常"))</f>
        <v/>
      </c>
    </row>
    <row r="61" ht="34" customHeight="1">
      <c r="A61" s="32" t="n"/>
      <c r="B61" s="32" t="n"/>
      <c r="C61" s="16">
        <f>IF(B61="","",IF(COUNTIF('公司'!$A$8:$A$207,B61)&lt;&gt;1,"编号缺失或重复",INDEX('公司'!$B$8:$B$207,MATCH(B61,'公司'!$A$8:$A$207,0))))</f>
        <v/>
      </c>
      <c r="D61" s="32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32" t="n"/>
      <c r="Q61" s="10" t="n"/>
      <c r="R61" s="10" t="n"/>
      <c r="S61" s="10" t="n"/>
      <c r="T61" s="16">
        <f>IF(A61="","",IF(OR(COUNTIF($A$8:$A$207,A61)&lt;&gt;1,COUNTIF('公司'!$A$8:$A$207,B61)&lt;&gt;1,AND(D61&lt;&gt;"",COUNTIF('联系人'!$A$8:$A$207,D61)&lt;&gt;1)),"检查编号或关联","正常"))</f>
        <v/>
      </c>
    </row>
    <row r="62" ht="34" customHeight="1">
      <c r="A62" s="32" t="n"/>
      <c r="B62" s="32" t="n"/>
      <c r="C62" s="16">
        <f>IF(B62="","",IF(COUNTIF('公司'!$A$8:$A$207,B62)&lt;&gt;1,"编号缺失或重复",INDEX('公司'!$B$8:$B$207,MATCH(B62,'公司'!$A$8:$A$207,0))))</f>
        <v/>
      </c>
      <c r="D62" s="32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32" t="n"/>
      <c r="Q62" s="10" t="n"/>
      <c r="R62" s="10" t="n"/>
      <c r="S62" s="10" t="n"/>
      <c r="T62" s="16">
        <f>IF(A62="","",IF(OR(COUNTIF($A$8:$A$207,A62)&lt;&gt;1,COUNTIF('公司'!$A$8:$A$207,B62)&lt;&gt;1,AND(D62&lt;&gt;"",COUNTIF('联系人'!$A$8:$A$207,D62)&lt;&gt;1)),"检查编号或关联","正常"))</f>
        <v/>
      </c>
    </row>
    <row r="63" ht="34" customHeight="1">
      <c r="A63" s="32" t="n"/>
      <c r="B63" s="32" t="n"/>
      <c r="C63" s="16">
        <f>IF(B63="","",IF(COUNTIF('公司'!$A$8:$A$207,B63)&lt;&gt;1,"编号缺失或重复",INDEX('公司'!$B$8:$B$207,MATCH(B63,'公司'!$A$8:$A$207,0))))</f>
        <v/>
      </c>
      <c r="D63" s="32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32" t="n"/>
      <c r="Q63" s="10" t="n"/>
      <c r="R63" s="10" t="n"/>
      <c r="S63" s="10" t="n"/>
      <c r="T63" s="16">
        <f>IF(A63="","",IF(OR(COUNTIF($A$8:$A$207,A63)&lt;&gt;1,COUNTIF('公司'!$A$8:$A$207,B63)&lt;&gt;1,AND(D63&lt;&gt;"",COUNTIF('联系人'!$A$8:$A$207,D63)&lt;&gt;1)),"检查编号或关联","正常"))</f>
        <v/>
      </c>
    </row>
    <row r="64" ht="34" customHeight="1">
      <c r="A64" s="32" t="n"/>
      <c r="B64" s="32" t="n"/>
      <c r="C64" s="16">
        <f>IF(B64="","",IF(COUNTIF('公司'!$A$8:$A$207,B64)&lt;&gt;1,"编号缺失或重复",INDEX('公司'!$B$8:$B$207,MATCH(B64,'公司'!$A$8:$A$207,0))))</f>
        <v/>
      </c>
      <c r="D64" s="32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32" t="n"/>
      <c r="Q64" s="10" t="n"/>
      <c r="R64" s="10" t="n"/>
      <c r="S64" s="10" t="n"/>
      <c r="T64" s="16">
        <f>IF(A64="","",IF(OR(COUNTIF($A$8:$A$207,A64)&lt;&gt;1,COUNTIF('公司'!$A$8:$A$207,B64)&lt;&gt;1,AND(D64&lt;&gt;"",COUNTIF('联系人'!$A$8:$A$207,D64)&lt;&gt;1)),"检查编号或关联","正常"))</f>
        <v/>
      </c>
    </row>
    <row r="65" ht="34" customHeight="1">
      <c r="A65" s="32" t="n"/>
      <c r="B65" s="32" t="n"/>
      <c r="C65" s="16">
        <f>IF(B65="","",IF(COUNTIF('公司'!$A$8:$A$207,B65)&lt;&gt;1,"编号缺失或重复",INDEX('公司'!$B$8:$B$207,MATCH(B65,'公司'!$A$8:$A$207,0))))</f>
        <v/>
      </c>
      <c r="D65" s="32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32" t="n"/>
      <c r="Q65" s="10" t="n"/>
      <c r="R65" s="10" t="n"/>
      <c r="S65" s="10" t="n"/>
      <c r="T65" s="16">
        <f>IF(A65="","",IF(OR(COUNTIF($A$8:$A$207,A65)&lt;&gt;1,COUNTIF('公司'!$A$8:$A$207,B65)&lt;&gt;1,AND(D65&lt;&gt;"",COUNTIF('联系人'!$A$8:$A$207,D65)&lt;&gt;1)),"检查编号或关联","正常"))</f>
        <v/>
      </c>
    </row>
    <row r="66" ht="34" customHeight="1">
      <c r="A66" s="32" t="n"/>
      <c r="B66" s="32" t="n"/>
      <c r="C66" s="16">
        <f>IF(B66="","",IF(COUNTIF('公司'!$A$8:$A$207,B66)&lt;&gt;1,"编号缺失或重复",INDEX('公司'!$B$8:$B$207,MATCH(B66,'公司'!$A$8:$A$207,0))))</f>
        <v/>
      </c>
      <c r="D66" s="32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32" t="n"/>
      <c r="Q66" s="10" t="n"/>
      <c r="R66" s="10" t="n"/>
      <c r="S66" s="10" t="n"/>
      <c r="T66" s="16">
        <f>IF(A66="","",IF(OR(COUNTIF($A$8:$A$207,A66)&lt;&gt;1,COUNTIF('公司'!$A$8:$A$207,B66)&lt;&gt;1,AND(D66&lt;&gt;"",COUNTIF('联系人'!$A$8:$A$207,D66)&lt;&gt;1)),"检查编号或关联","正常"))</f>
        <v/>
      </c>
    </row>
    <row r="67" ht="34" customHeight="1">
      <c r="A67" s="32" t="n"/>
      <c r="B67" s="32" t="n"/>
      <c r="C67" s="16">
        <f>IF(B67="","",IF(COUNTIF('公司'!$A$8:$A$207,B67)&lt;&gt;1,"编号缺失或重复",INDEX('公司'!$B$8:$B$207,MATCH(B67,'公司'!$A$8:$A$207,0))))</f>
        <v/>
      </c>
      <c r="D67" s="32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32" t="n"/>
      <c r="Q67" s="10" t="n"/>
      <c r="R67" s="10" t="n"/>
      <c r="S67" s="10" t="n"/>
      <c r="T67" s="16">
        <f>IF(A67="","",IF(OR(COUNTIF($A$8:$A$207,A67)&lt;&gt;1,COUNTIF('公司'!$A$8:$A$207,B67)&lt;&gt;1,AND(D67&lt;&gt;"",COUNTIF('联系人'!$A$8:$A$207,D67)&lt;&gt;1)),"检查编号或关联","正常"))</f>
        <v/>
      </c>
    </row>
    <row r="68" ht="34" customHeight="1">
      <c r="A68" s="32" t="n"/>
      <c r="B68" s="32" t="n"/>
      <c r="C68" s="16">
        <f>IF(B68="","",IF(COUNTIF('公司'!$A$8:$A$207,B68)&lt;&gt;1,"编号缺失或重复",INDEX('公司'!$B$8:$B$207,MATCH(B68,'公司'!$A$8:$A$207,0))))</f>
        <v/>
      </c>
      <c r="D68" s="32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32" t="n"/>
      <c r="Q68" s="10" t="n"/>
      <c r="R68" s="10" t="n"/>
      <c r="S68" s="10" t="n"/>
      <c r="T68" s="16">
        <f>IF(A68="","",IF(OR(COUNTIF($A$8:$A$207,A68)&lt;&gt;1,COUNTIF('公司'!$A$8:$A$207,B68)&lt;&gt;1,AND(D68&lt;&gt;"",COUNTIF('联系人'!$A$8:$A$207,D68)&lt;&gt;1)),"检查编号或关联","正常"))</f>
        <v/>
      </c>
    </row>
    <row r="69" ht="34" customHeight="1">
      <c r="A69" s="32" t="n"/>
      <c r="B69" s="32" t="n"/>
      <c r="C69" s="16">
        <f>IF(B69="","",IF(COUNTIF('公司'!$A$8:$A$207,B69)&lt;&gt;1,"编号缺失或重复",INDEX('公司'!$B$8:$B$207,MATCH(B69,'公司'!$A$8:$A$207,0))))</f>
        <v/>
      </c>
      <c r="D69" s="32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32" t="n"/>
      <c r="Q69" s="10" t="n"/>
      <c r="R69" s="10" t="n"/>
      <c r="S69" s="10" t="n"/>
      <c r="T69" s="16">
        <f>IF(A69="","",IF(OR(COUNTIF($A$8:$A$207,A69)&lt;&gt;1,COUNTIF('公司'!$A$8:$A$207,B69)&lt;&gt;1,AND(D69&lt;&gt;"",COUNTIF('联系人'!$A$8:$A$207,D69)&lt;&gt;1)),"检查编号或关联","正常"))</f>
        <v/>
      </c>
    </row>
    <row r="70" ht="34" customHeight="1">
      <c r="A70" s="32" t="n"/>
      <c r="B70" s="32" t="n"/>
      <c r="C70" s="16">
        <f>IF(B70="","",IF(COUNTIF('公司'!$A$8:$A$207,B70)&lt;&gt;1,"编号缺失或重复",INDEX('公司'!$B$8:$B$207,MATCH(B70,'公司'!$A$8:$A$207,0))))</f>
        <v/>
      </c>
      <c r="D70" s="32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32" t="n"/>
      <c r="Q70" s="10" t="n"/>
      <c r="R70" s="10" t="n"/>
      <c r="S70" s="10" t="n"/>
      <c r="T70" s="16">
        <f>IF(A70="","",IF(OR(COUNTIF($A$8:$A$207,A70)&lt;&gt;1,COUNTIF('公司'!$A$8:$A$207,B70)&lt;&gt;1,AND(D70&lt;&gt;"",COUNTIF('联系人'!$A$8:$A$207,D70)&lt;&gt;1)),"检查编号或关联","正常"))</f>
        <v/>
      </c>
    </row>
    <row r="71" ht="34" customHeight="1">
      <c r="A71" s="32" t="n"/>
      <c r="B71" s="32" t="n"/>
      <c r="C71" s="16">
        <f>IF(B71="","",IF(COUNTIF('公司'!$A$8:$A$207,B71)&lt;&gt;1,"编号缺失或重复",INDEX('公司'!$B$8:$B$207,MATCH(B71,'公司'!$A$8:$A$207,0))))</f>
        <v/>
      </c>
      <c r="D71" s="32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32" t="n"/>
      <c r="Q71" s="10" t="n"/>
      <c r="R71" s="10" t="n"/>
      <c r="S71" s="10" t="n"/>
      <c r="T71" s="16">
        <f>IF(A71="","",IF(OR(COUNTIF($A$8:$A$207,A71)&lt;&gt;1,COUNTIF('公司'!$A$8:$A$207,B71)&lt;&gt;1,AND(D71&lt;&gt;"",COUNTIF('联系人'!$A$8:$A$207,D71)&lt;&gt;1)),"检查编号或关联","正常"))</f>
        <v/>
      </c>
    </row>
    <row r="72" ht="34" customHeight="1">
      <c r="A72" s="32" t="n"/>
      <c r="B72" s="32" t="n"/>
      <c r="C72" s="16">
        <f>IF(B72="","",IF(COUNTIF('公司'!$A$8:$A$207,B72)&lt;&gt;1,"编号缺失或重复",INDEX('公司'!$B$8:$B$207,MATCH(B72,'公司'!$A$8:$A$207,0))))</f>
        <v/>
      </c>
      <c r="D72" s="32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32" t="n"/>
      <c r="Q72" s="10" t="n"/>
      <c r="R72" s="10" t="n"/>
      <c r="S72" s="10" t="n"/>
      <c r="T72" s="16">
        <f>IF(A72="","",IF(OR(COUNTIF($A$8:$A$207,A72)&lt;&gt;1,COUNTIF('公司'!$A$8:$A$207,B72)&lt;&gt;1,AND(D72&lt;&gt;"",COUNTIF('联系人'!$A$8:$A$207,D72)&lt;&gt;1)),"检查编号或关联","正常"))</f>
        <v/>
      </c>
    </row>
    <row r="73" ht="34" customHeight="1">
      <c r="A73" s="32" t="n"/>
      <c r="B73" s="32" t="n"/>
      <c r="C73" s="16">
        <f>IF(B73="","",IF(COUNTIF('公司'!$A$8:$A$207,B73)&lt;&gt;1,"编号缺失或重复",INDEX('公司'!$B$8:$B$207,MATCH(B73,'公司'!$A$8:$A$207,0))))</f>
        <v/>
      </c>
      <c r="D73" s="32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32" t="n"/>
      <c r="Q73" s="10" t="n"/>
      <c r="R73" s="10" t="n"/>
      <c r="S73" s="10" t="n"/>
      <c r="T73" s="16">
        <f>IF(A73="","",IF(OR(COUNTIF($A$8:$A$207,A73)&lt;&gt;1,COUNTIF('公司'!$A$8:$A$207,B73)&lt;&gt;1,AND(D73&lt;&gt;"",COUNTIF('联系人'!$A$8:$A$207,D73)&lt;&gt;1)),"检查编号或关联","正常"))</f>
        <v/>
      </c>
    </row>
    <row r="74" ht="34" customHeight="1">
      <c r="A74" s="32" t="n"/>
      <c r="B74" s="32" t="n"/>
      <c r="C74" s="16">
        <f>IF(B74="","",IF(COUNTIF('公司'!$A$8:$A$207,B74)&lt;&gt;1,"编号缺失或重复",INDEX('公司'!$B$8:$B$207,MATCH(B74,'公司'!$A$8:$A$207,0))))</f>
        <v/>
      </c>
      <c r="D74" s="32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32" t="n"/>
      <c r="Q74" s="10" t="n"/>
      <c r="R74" s="10" t="n"/>
      <c r="S74" s="10" t="n"/>
      <c r="T74" s="16">
        <f>IF(A74="","",IF(OR(COUNTIF($A$8:$A$207,A74)&lt;&gt;1,COUNTIF('公司'!$A$8:$A$207,B74)&lt;&gt;1,AND(D74&lt;&gt;"",COUNTIF('联系人'!$A$8:$A$207,D74)&lt;&gt;1)),"检查编号或关联","正常"))</f>
        <v/>
      </c>
    </row>
    <row r="75" ht="34" customHeight="1">
      <c r="A75" s="32" t="n"/>
      <c r="B75" s="32" t="n"/>
      <c r="C75" s="16">
        <f>IF(B75="","",IF(COUNTIF('公司'!$A$8:$A$207,B75)&lt;&gt;1,"编号缺失或重复",INDEX('公司'!$B$8:$B$207,MATCH(B75,'公司'!$A$8:$A$207,0))))</f>
        <v/>
      </c>
      <c r="D75" s="32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32" t="n"/>
      <c r="Q75" s="10" t="n"/>
      <c r="R75" s="10" t="n"/>
      <c r="S75" s="10" t="n"/>
      <c r="T75" s="16">
        <f>IF(A75="","",IF(OR(COUNTIF($A$8:$A$207,A75)&lt;&gt;1,COUNTIF('公司'!$A$8:$A$207,B75)&lt;&gt;1,AND(D75&lt;&gt;"",COUNTIF('联系人'!$A$8:$A$207,D75)&lt;&gt;1)),"检查编号或关联","正常"))</f>
        <v/>
      </c>
    </row>
    <row r="76" ht="34" customHeight="1">
      <c r="A76" s="32" t="n"/>
      <c r="B76" s="32" t="n"/>
      <c r="C76" s="16">
        <f>IF(B76="","",IF(COUNTIF('公司'!$A$8:$A$207,B76)&lt;&gt;1,"编号缺失或重复",INDEX('公司'!$B$8:$B$207,MATCH(B76,'公司'!$A$8:$A$207,0))))</f>
        <v/>
      </c>
      <c r="D76" s="32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32" t="n"/>
      <c r="Q76" s="10" t="n"/>
      <c r="R76" s="10" t="n"/>
      <c r="S76" s="10" t="n"/>
      <c r="T76" s="16">
        <f>IF(A76="","",IF(OR(COUNTIF($A$8:$A$207,A76)&lt;&gt;1,COUNTIF('公司'!$A$8:$A$207,B76)&lt;&gt;1,AND(D76&lt;&gt;"",COUNTIF('联系人'!$A$8:$A$207,D76)&lt;&gt;1)),"检查编号或关联","正常"))</f>
        <v/>
      </c>
    </row>
    <row r="77" ht="34" customHeight="1">
      <c r="A77" s="32" t="n"/>
      <c r="B77" s="32" t="n"/>
      <c r="C77" s="16">
        <f>IF(B77="","",IF(COUNTIF('公司'!$A$8:$A$207,B77)&lt;&gt;1,"编号缺失或重复",INDEX('公司'!$B$8:$B$207,MATCH(B77,'公司'!$A$8:$A$207,0))))</f>
        <v/>
      </c>
      <c r="D77" s="32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32" t="n"/>
      <c r="Q77" s="10" t="n"/>
      <c r="R77" s="10" t="n"/>
      <c r="S77" s="10" t="n"/>
      <c r="T77" s="16">
        <f>IF(A77="","",IF(OR(COUNTIF($A$8:$A$207,A77)&lt;&gt;1,COUNTIF('公司'!$A$8:$A$207,B77)&lt;&gt;1,AND(D77&lt;&gt;"",COUNTIF('联系人'!$A$8:$A$207,D77)&lt;&gt;1)),"检查编号或关联","正常"))</f>
        <v/>
      </c>
    </row>
    <row r="78" ht="34" customHeight="1">
      <c r="A78" s="32" t="n"/>
      <c r="B78" s="32" t="n"/>
      <c r="C78" s="16">
        <f>IF(B78="","",IF(COUNTIF('公司'!$A$8:$A$207,B78)&lt;&gt;1,"编号缺失或重复",INDEX('公司'!$B$8:$B$207,MATCH(B78,'公司'!$A$8:$A$207,0))))</f>
        <v/>
      </c>
      <c r="D78" s="32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32" t="n"/>
      <c r="Q78" s="10" t="n"/>
      <c r="R78" s="10" t="n"/>
      <c r="S78" s="10" t="n"/>
      <c r="T78" s="16">
        <f>IF(A78="","",IF(OR(COUNTIF($A$8:$A$207,A78)&lt;&gt;1,COUNTIF('公司'!$A$8:$A$207,B78)&lt;&gt;1,AND(D78&lt;&gt;"",COUNTIF('联系人'!$A$8:$A$207,D78)&lt;&gt;1)),"检查编号或关联","正常"))</f>
        <v/>
      </c>
    </row>
    <row r="79" ht="34" customHeight="1">
      <c r="A79" s="32" t="n"/>
      <c r="B79" s="32" t="n"/>
      <c r="C79" s="16">
        <f>IF(B79="","",IF(COUNTIF('公司'!$A$8:$A$207,B79)&lt;&gt;1,"编号缺失或重复",INDEX('公司'!$B$8:$B$207,MATCH(B79,'公司'!$A$8:$A$207,0))))</f>
        <v/>
      </c>
      <c r="D79" s="32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32" t="n"/>
      <c r="Q79" s="10" t="n"/>
      <c r="R79" s="10" t="n"/>
      <c r="S79" s="10" t="n"/>
      <c r="T79" s="16">
        <f>IF(A79="","",IF(OR(COUNTIF($A$8:$A$207,A79)&lt;&gt;1,COUNTIF('公司'!$A$8:$A$207,B79)&lt;&gt;1,AND(D79&lt;&gt;"",COUNTIF('联系人'!$A$8:$A$207,D79)&lt;&gt;1)),"检查编号或关联","正常"))</f>
        <v/>
      </c>
    </row>
    <row r="80" ht="34" customHeight="1">
      <c r="A80" s="32" t="n"/>
      <c r="B80" s="32" t="n"/>
      <c r="C80" s="16">
        <f>IF(B80="","",IF(COUNTIF('公司'!$A$8:$A$207,B80)&lt;&gt;1,"编号缺失或重复",INDEX('公司'!$B$8:$B$207,MATCH(B80,'公司'!$A$8:$A$207,0))))</f>
        <v/>
      </c>
      <c r="D80" s="32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32" t="n"/>
      <c r="Q80" s="10" t="n"/>
      <c r="R80" s="10" t="n"/>
      <c r="S80" s="10" t="n"/>
      <c r="T80" s="16">
        <f>IF(A80="","",IF(OR(COUNTIF($A$8:$A$207,A80)&lt;&gt;1,COUNTIF('公司'!$A$8:$A$207,B80)&lt;&gt;1,AND(D80&lt;&gt;"",COUNTIF('联系人'!$A$8:$A$207,D80)&lt;&gt;1)),"检查编号或关联","正常"))</f>
        <v/>
      </c>
    </row>
    <row r="81" ht="34" customHeight="1">
      <c r="A81" s="32" t="n"/>
      <c r="B81" s="32" t="n"/>
      <c r="C81" s="16">
        <f>IF(B81="","",IF(COUNTIF('公司'!$A$8:$A$207,B81)&lt;&gt;1,"编号缺失或重复",INDEX('公司'!$B$8:$B$207,MATCH(B81,'公司'!$A$8:$A$207,0))))</f>
        <v/>
      </c>
      <c r="D81" s="32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32" t="n"/>
      <c r="Q81" s="10" t="n"/>
      <c r="R81" s="10" t="n"/>
      <c r="S81" s="10" t="n"/>
      <c r="T81" s="16">
        <f>IF(A81="","",IF(OR(COUNTIF($A$8:$A$207,A81)&lt;&gt;1,COUNTIF('公司'!$A$8:$A$207,B81)&lt;&gt;1,AND(D81&lt;&gt;"",COUNTIF('联系人'!$A$8:$A$207,D81)&lt;&gt;1)),"检查编号或关联","正常"))</f>
        <v/>
      </c>
    </row>
    <row r="82" ht="34" customHeight="1">
      <c r="A82" s="32" t="n"/>
      <c r="B82" s="32" t="n"/>
      <c r="C82" s="16">
        <f>IF(B82="","",IF(COUNTIF('公司'!$A$8:$A$207,B82)&lt;&gt;1,"编号缺失或重复",INDEX('公司'!$B$8:$B$207,MATCH(B82,'公司'!$A$8:$A$207,0))))</f>
        <v/>
      </c>
      <c r="D82" s="32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32" t="n"/>
      <c r="Q82" s="10" t="n"/>
      <c r="R82" s="10" t="n"/>
      <c r="S82" s="10" t="n"/>
      <c r="T82" s="16">
        <f>IF(A82="","",IF(OR(COUNTIF($A$8:$A$207,A82)&lt;&gt;1,COUNTIF('公司'!$A$8:$A$207,B82)&lt;&gt;1,AND(D82&lt;&gt;"",COUNTIF('联系人'!$A$8:$A$207,D82)&lt;&gt;1)),"检查编号或关联","正常"))</f>
        <v/>
      </c>
    </row>
    <row r="83" ht="34" customHeight="1">
      <c r="A83" s="32" t="n"/>
      <c r="B83" s="32" t="n"/>
      <c r="C83" s="16">
        <f>IF(B83="","",IF(COUNTIF('公司'!$A$8:$A$207,B83)&lt;&gt;1,"编号缺失或重复",INDEX('公司'!$B$8:$B$207,MATCH(B83,'公司'!$A$8:$A$207,0))))</f>
        <v/>
      </c>
      <c r="D83" s="32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32" t="n"/>
      <c r="Q83" s="10" t="n"/>
      <c r="R83" s="10" t="n"/>
      <c r="S83" s="10" t="n"/>
      <c r="T83" s="16">
        <f>IF(A83="","",IF(OR(COUNTIF($A$8:$A$207,A83)&lt;&gt;1,COUNTIF('公司'!$A$8:$A$207,B83)&lt;&gt;1,AND(D83&lt;&gt;"",COUNTIF('联系人'!$A$8:$A$207,D83)&lt;&gt;1)),"检查编号或关联","正常"))</f>
        <v/>
      </c>
    </row>
    <row r="84" ht="34" customHeight="1">
      <c r="A84" s="32" t="n"/>
      <c r="B84" s="32" t="n"/>
      <c r="C84" s="16">
        <f>IF(B84="","",IF(COUNTIF('公司'!$A$8:$A$207,B84)&lt;&gt;1,"编号缺失或重复",INDEX('公司'!$B$8:$B$207,MATCH(B84,'公司'!$A$8:$A$207,0))))</f>
        <v/>
      </c>
      <c r="D84" s="32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32" t="n"/>
      <c r="Q84" s="10" t="n"/>
      <c r="R84" s="10" t="n"/>
      <c r="S84" s="10" t="n"/>
      <c r="T84" s="16">
        <f>IF(A84="","",IF(OR(COUNTIF($A$8:$A$207,A84)&lt;&gt;1,COUNTIF('公司'!$A$8:$A$207,B84)&lt;&gt;1,AND(D84&lt;&gt;"",COUNTIF('联系人'!$A$8:$A$207,D84)&lt;&gt;1)),"检查编号或关联","正常"))</f>
        <v/>
      </c>
    </row>
    <row r="85" ht="34" customHeight="1">
      <c r="A85" s="32" t="n"/>
      <c r="B85" s="32" t="n"/>
      <c r="C85" s="16">
        <f>IF(B85="","",IF(COUNTIF('公司'!$A$8:$A$207,B85)&lt;&gt;1,"编号缺失或重复",INDEX('公司'!$B$8:$B$207,MATCH(B85,'公司'!$A$8:$A$207,0))))</f>
        <v/>
      </c>
      <c r="D85" s="32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32" t="n"/>
      <c r="Q85" s="10" t="n"/>
      <c r="R85" s="10" t="n"/>
      <c r="S85" s="10" t="n"/>
      <c r="T85" s="16">
        <f>IF(A85="","",IF(OR(COUNTIF($A$8:$A$207,A85)&lt;&gt;1,COUNTIF('公司'!$A$8:$A$207,B85)&lt;&gt;1,AND(D85&lt;&gt;"",COUNTIF('联系人'!$A$8:$A$207,D85)&lt;&gt;1)),"检查编号或关联","正常"))</f>
        <v/>
      </c>
    </row>
    <row r="86" ht="34" customHeight="1">
      <c r="A86" s="32" t="n"/>
      <c r="B86" s="32" t="n"/>
      <c r="C86" s="16">
        <f>IF(B86="","",IF(COUNTIF('公司'!$A$8:$A$207,B86)&lt;&gt;1,"编号缺失或重复",INDEX('公司'!$B$8:$B$207,MATCH(B86,'公司'!$A$8:$A$207,0))))</f>
        <v/>
      </c>
      <c r="D86" s="32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32" t="n"/>
      <c r="Q86" s="10" t="n"/>
      <c r="R86" s="10" t="n"/>
      <c r="S86" s="10" t="n"/>
      <c r="T86" s="16">
        <f>IF(A86="","",IF(OR(COUNTIF($A$8:$A$207,A86)&lt;&gt;1,COUNTIF('公司'!$A$8:$A$207,B86)&lt;&gt;1,AND(D86&lt;&gt;"",COUNTIF('联系人'!$A$8:$A$207,D86)&lt;&gt;1)),"检查编号或关联","正常"))</f>
        <v/>
      </c>
    </row>
    <row r="87" ht="34" customHeight="1">
      <c r="A87" s="32" t="n"/>
      <c r="B87" s="32" t="n"/>
      <c r="C87" s="16">
        <f>IF(B87="","",IF(COUNTIF('公司'!$A$8:$A$207,B87)&lt;&gt;1,"编号缺失或重复",INDEX('公司'!$B$8:$B$207,MATCH(B87,'公司'!$A$8:$A$207,0))))</f>
        <v/>
      </c>
      <c r="D87" s="32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32" t="n"/>
      <c r="Q87" s="10" t="n"/>
      <c r="R87" s="10" t="n"/>
      <c r="S87" s="10" t="n"/>
      <c r="T87" s="16">
        <f>IF(A87="","",IF(OR(COUNTIF($A$8:$A$207,A87)&lt;&gt;1,COUNTIF('公司'!$A$8:$A$207,B87)&lt;&gt;1,AND(D87&lt;&gt;"",COUNTIF('联系人'!$A$8:$A$207,D87)&lt;&gt;1)),"检查编号或关联","正常"))</f>
        <v/>
      </c>
    </row>
    <row r="88" ht="34" customHeight="1">
      <c r="A88" s="32" t="n"/>
      <c r="B88" s="32" t="n"/>
      <c r="C88" s="16">
        <f>IF(B88="","",IF(COUNTIF('公司'!$A$8:$A$207,B88)&lt;&gt;1,"编号缺失或重复",INDEX('公司'!$B$8:$B$207,MATCH(B88,'公司'!$A$8:$A$207,0))))</f>
        <v/>
      </c>
      <c r="D88" s="32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32" t="n"/>
      <c r="Q88" s="10" t="n"/>
      <c r="R88" s="10" t="n"/>
      <c r="S88" s="10" t="n"/>
      <c r="T88" s="16">
        <f>IF(A88="","",IF(OR(COUNTIF($A$8:$A$207,A88)&lt;&gt;1,COUNTIF('公司'!$A$8:$A$207,B88)&lt;&gt;1,AND(D88&lt;&gt;"",COUNTIF('联系人'!$A$8:$A$207,D88)&lt;&gt;1)),"检查编号或关联","正常"))</f>
        <v/>
      </c>
    </row>
    <row r="89" ht="34" customHeight="1">
      <c r="A89" s="32" t="n"/>
      <c r="B89" s="32" t="n"/>
      <c r="C89" s="16">
        <f>IF(B89="","",IF(COUNTIF('公司'!$A$8:$A$207,B89)&lt;&gt;1,"编号缺失或重复",INDEX('公司'!$B$8:$B$207,MATCH(B89,'公司'!$A$8:$A$207,0))))</f>
        <v/>
      </c>
      <c r="D89" s="32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32" t="n"/>
      <c r="Q89" s="10" t="n"/>
      <c r="R89" s="10" t="n"/>
      <c r="S89" s="10" t="n"/>
      <c r="T89" s="16">
        <f>IF(A89="","",IF(OR(COUNTIF($A$8:$A$207,A89)&lt;&gt;1,COUNTIF('公司'!$A$8:$A$207,B89)&lt;&gt;1,AND(D89&lt;&gt;"",COUNTIF('联系人'!$A$8:$A$207,D89)&lt;&gt;1)),"检查编号或关联","正常"))</f>
        <v/>
      </c>
    </row>
    <row r="90" ht="34" customHeight="1">
      <c r="A90" s="32" t="n"/>
      <c r="B90" s="32" t="n"/>
      <c r="C90" s="16">
        <f>IF(B90="","",IF(COUNTIF('公司'!$A$8:$A$207,B90)&lt;&gt;1,"编号缺失或重复",INDEX('公司'!$B$8:$B$207,MATCH(B90,'公司'!$A$8:$A$207,0))))</f>
        <v/>
      </c>
      <c r="D90" s="32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32" t="n"/>
      <c r="Q90" s="10" t="n"/>
      <c r="R90" s="10" t="n"/>
      <c r="S90" s="10" t="n"/>
      <c r="T90" s="16">
        <f>IF(A90="","",IF(OR(COUNTIF($A$8:$A$207,A90)&lt;&gt;1,COUNTIF('公司'!$A$8:$A$207,B90)&lt;&gt;1,AND(D90&lt;&gt;"",COUNTIF('联系人'!$A$8:$A$207,D90)&lt;&gt;1)),"检查编号或关联","正常"))</f>
        <v/>
      </c>
    </row>
    <row r="91" ht="34" customHeight="1">
      <c r="A91" s="32" t="n"/>
      <c r="B91" s="32" t="n"/>
      <c r="C91" s="16">
        <f>IF(B91="","",IF(COUNTIF('公司'!$A$8:$A$207,B91)&lt;&gt;1,"编号缺失或重复",INDEX('公司'!$B$8:$B$207,MATCH(B91,'公司'!$A$8:$A$207,0))))</f>
        <v/>
      </c>
      <c r="D91" s="32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32" t="n"/>
      <c r="Q91" s="10" t="n"/>
      <c r="R91" s="10" t="n"/>
      <c r="S91" s="10" t="n"/>
      <c r="T91" s="16">
        <f>IF(A91="","",IF(OR(COUNTIF($A$8:$A$207,A91)&lt;&gt;1,COUNTIF('公司'!$A$8:$A$207,B91)&lt;&gt;1,AND(D91&lt;&gt;"",COUNTIF('联系人'!$A$8:$A$207,D91)&lt;&gt;1)),"检查编号或关联","正常"))</f>
        <v/>
      </c>
    </row>
    <row r="92" ht="34" customHeight="1">
      <c r="A92" s="32" t="n"/>
      <c r="B92" s="32" t="n"/>
      <c r="C92" s="16">
        <f>IF(B92="","",IF(COUNTIF('公司'!$A$8:$A$207,B92)&lt;&gt;1,"编号缺失或重复",INDEX('公司'!$B$8:$B$207,MATCH(B92,'公司'!$A$8:$A$207,0))))</f>
        <v/>
      </c>
      <c r="D92" s="32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32" t="n"/>
      <c r="Q92" s="10" t="n"/>
      <c r="R92" s="10" t="n"/>
      <c r="S92" s="10" t="n"/>
      <c r="T92" s="16">
        <f>IF(A92="","",IF(OR(COUNTIF($A$8:$A$207,A92)&lt;&gt;1,COUNTIF('公司'!$A$8:$A$207,B92)&lt;&gt;1,AND(D92&lt;&gt;"",COUNTIF('联系人'!$A$8:$A$207,D92)&lt;&gt;1)),"检查编号或关联","正常"))</f>
        <v/>
      </c>
    </row>
    <row r="93" ht="34" customHeight="1">
      <c r="A93" s="32" t="n"/>
      <c r="B93" s="32" t="n"/>
      <c r="C93" s="16">
        <f>IF(B93="","",IF(COUNTIF('公司'!$A$8:$A$207,B93)&lt;&gt;1,"编号缺失或重复",INDEX('公司'!$B$8:$B$207,MATCH(B93,'公司'!$A$8:$A$207,0))))</f>
        <v/>
      </c>
      <c r="D93" s="32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32" t="n"/>
      <c r="Q93" s="10" t="n"/>
      <c r="R93" s="10" t="n"/>
      <c r="S93" s="10" t="n"/>
      <c r="T93" s="16">
        <f>IF(A93="","",IF(OR(COUNTIF($A$8:$A$207,A93)&lt;&gt;1,COUNTIF('公司'!$A$8:$A$207,B93)&lt;&gt;1,AND(D93&lt;&gt;"",COUNTIF('联系人'!$A$8:$A$207,D93)&lt;&gt;1)),"检查编号或关联","正常"))</f>
        <v/>
      </c>
    </row>
    <row r="94" ht="34" customHeight="1">
      <c r="A94" s="32" t="n"/>
      <c r="B94" s="32" t="n"/>
      <c r="C94" s="16">
        <f>IF(B94="","",IF(COUNTIF('公司'!$A$8:$A$207,B94)&lt;&gt;1,"编号缺失或重复",INDEX('公司'!$B$8:$B$207,MATCH(B94,'公司'!$A$8:$A$207,0))))</f>
        <v/>
      </c>
      <c r="D94" s="32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32" t="n"/>
      <c r="Q94" s="10" t="n"/>
      <c r="R94" s="10" t="n"/>
      <c r="S94" s="10" t="n"/>
      <c r="T94" s="16">
        <f>IF(A94="","",IF(OR(COUNTIF($A$8:$A$207,A94)&lt;&gt;1,COUNTIF('公司'!$A$8:$A$207,B94)&lt;&gt;1,AND(D94&lt;&gt;"",COUNTIF('联系人'!$A$8:$A$207,D94)&lt;&gt;1)),"检查编号或关联","正常"))</f>
        <v/>
      </c>
    </row>
    <row r="95" ht="34" customHeight="1">
      <c r="A95" s="32" t="n"/>
      <c r="B95" s="32" t="n"/>
      <c r="C95" s="16">
        <f>IF(B95="","",IF(COUNTIF('公司'!$A$8:$A$207,B95)&lt;&gt;1,"编号缺失或重复",INDEX('公司'!$B$8:$B$207,MATCH(B95,'公司'!$A$8:$A$207,0))))</f>
        <v/>
      </c>
      <c r="D95" s="32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32" t="n"/>
      <c r="Q95" s="10" t="n"/>
      <c r="R95" s="10" t="n"/>
      <c r="S95" s="10" t="n"/>
      <c r="T95" s="16">
        <f>IF(A95="","",IF(OR(COUNTIF($A$8:$A$207,A95)&lt;&gt;1,COUNTIF('公司'!$A$8:$A$207,B95)&lt;&gt;1,AND(D95&lt;&gt;"",COUNTIF('联系人'!$A$8:$A$207,D95)&lt;&gt;1)),"检查编号或关联","正常"))</f>
        <v/>
      </c>
    </row>
    <row r="96" ht="34" customHeight="1">
      <c r="A96" s="32" t="n"/>
      <c r="B96" s="32" t="n"/>
      <c r="C96" s="16">
        <f>IF(B96="","",IF(COUNTIF('公司'!$A$8:$A$207,B96)&lt;&gt;1,"编号缺失或重复",INDEX('公司'!$B$8:$B$207,MATCH(B96,'公司'!$A$8:$A$207,0))))</f>
        <v/>
      </c>
      <c r="D96" s="32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32" t="n"/>
      <c r="Q96" s="10" t="n"/>
      <c r="R96" s="10" t="n"/>
      <c r="S96" s="10" t="n"/>
      <c r="T96" s="16">
        <f>IF(A96="","",IF(OR(COUNTIF($A$8:$A$207,A96)&lt;&gt;1,COUNTIF('公司'!$A$8:$A$207,B96)&lt;&gt;1,AND(D96&lt;&gt;"",COUNTIF('联系人'!$A$8:$A$207,D96)&lt;&gt;1)),"检查编号或关联","正常"))</f>
        <v/>
      </c>
    </row>
    <row r="97" ht="34" customHeight="1">
      <c r="A97" s="32" t="n"/>
      <c r="B97" s="32" t="n"/>
      <c r="C97" s="16">
        <f>IF(B97="","",IF(COUNTIF('公司'!$A$8:$A$207,B97)&lt;&gt;1,"编号缺失或重复",INDEX('公司'!$B$8:$B$207,MATCH(B97,'公司'!$A$8:$A$207,0))))</f>
        <v/>
      </c>
      <c r="D97" s="32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32" t="n"/>
      <c r="Q97" s="10" t="n"/>
      <c r="R97" s="10" t="n"/>
      <c r="S97" s="10" t="n"/>
      <c r="T97" s="16">
        <f>IF(A97="","",IF(OR(COUNTIF($A$8:$A$207,A97)&lt;&gt;1,COUNTIF('公司'!$A$8:$A$207,B97)&lt;&gt;1,AND(D97&lt;&gt;"",COUNTIF('联系人'!$A$8:$A$207,D97)&lt;&gt;1)),"检查编号或关联","正常"))</f>
        <v/>
      </c>
    </row>
    <row r="98" ht="34" customHeight="1">
      <c r="A98" s="32" t="n"/>
      <c r="B98" s="32" t="n"/>
      <c r="C98" s="16">
        <f>IF(B98="","",IF(COUNTIF('公司'!$A$8:$A$207,B98)&lt;&gt;1,"编号缺失或重复",INDEX('公司'!$B$8:$B$207,MATCH(B98,'公司'!$A$8:$A$207,0))))</f>
        <v/>
      </c>
      <c r="D98" s="32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32" t="n"/>
      <c r="Q98" s="10" t="n"/>
      <c r="R98" s="10" t="n"/>
      <c r="S98" s="10" t="n"/>
      <c r="T98" s="16">
        <f>IF(A98="","",IF(OR(COUNTIF($A$8:$A$207,A98)&lt;&gt;1,COUNTIF('公司'!$A$8:$A$207,B98)&lt;&gt;1,AND(D98&lt;&gt;"",COUNTIF('联系人'!$A$8:$A$207,D98)&lt;&gt;1)),"检查编号或关联","正常"))</f>
        <v/>
      </c>
    </row>
    <row r="99" ht="34" customHeight="1">
      <c r="A99" s="32" t="n"/>
      <c r="B99" s="32" t="n"/>
      <c r="C99" s="16">
        <f>IF(B99="","",IF(COUNTIF('公司'!$A$8:$A$207,B99)&lt;&gt;1,"编号缺失或重复",INDEX('公司'!$B$8:$B$207,MATCH(B99,'公司'!$A$8:$A$207,0))))</f>
        <v/>
      </c>
      <c r="D99" s="32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32" t="n"/>
      <c r="Q99" s="10" t="n"/>
      <c r="R99" s="10" t="n"/>
      <c r="S99" s="10" t="n"/>
      <c r="T99" s="16">
        <f>IF(A99="","",IF(OR(COUNTIF($A$8:$A$207,A99)&lt;&gt;1,COUNTIF('公司'!$A$8:$A$207,B99)&lt;&gt;1,AND(D99&lt;&gt;"",COUNTIF('联系人'!$A$8:$A$207,D99)&lt;&gt;1)),"检查编号或关联","正常"))</f>
        <v/>
      </c>
    </row>
    <row r="100" ht="34" customHeight="1">
      <c r="A100" s="32" t="n"/>
      <c r="B100" s="32" t="n"/>
      <c r="C100" s="16">
        <f>IF(B100="","",IF(COUNTIF('公司'!$A$8:$A$207,B100)&lt;&gt;1,"编号缺失或重复",INDEX('公司'!$B$8:$B$207,MATCH(B100,'公司'!$A$8:$A$207,0))))</f>
        <v/>
      </c>
      <c r="D100" s="32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32" t="n"/>
      <c r="Q100" s="10" t="n"/>
      <c r="R100" s="10" t="n"/>
      <c r="S100" s="10" t="n"/>
      <c r="T100" s="16">
        <f>IF(A100="","",IF(OR(COUNTIF($A$8:$A$207,A100)&lt;&gt;1,COUNTIF('公司'!$A$8:$A$207,B100)&lt;&gt;1,AND(D100&lt;&gt;"",COUNTIF('联系人'!$A$8:$A$207,D100)&lt;&gt;1)),"检查编号或关联","正常"))</f>
        <v/>
      </c>
    </row>
    <row r="101" ht="34" customHeight="1">
      <c r="A101" s="32" t="n"/>
      <c r="B101" s="32" t="n"/>
      <c r="C101" s="16">
        <f>IF(B101="","",IF(COUNTIF('公司'!$A$8:$A$207,B101)&lt;&gt;1,"编号缺失或重复",INDEX('公司'!$B$8:$B$207,MATCH(B101,'公司'!$A$8:$A$207,0))))</f>
        <v/>
      </c>
      <c r="D101" s="32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32" t="n"/>
      <c r="Q101" s="10" t="n"/>
      <c r="R101" s="10" t="n"/>
      <c r="S101" s="10" t="n"/>
      <c r="T101" s="16">
        <f>IF(A101="","",IF(OR(COUNTIF($A$8:$A$207,A101)&lt;&gt;1,COUNTIF('公司'!$A$8:$A$207,B101)&lt;&gt;1,AND(D101&lt;&gt;"",COUNTIF('联系人'!$A$8:$A$207,D101)&lt;&gt;1)),"检查编号或关联","正常"))</f>
        <v/>
      </c>
    </row>
    <row r="102" ht="34" customHeight="1">
      <c r="A102" s="32" t="n"/>
      <c r="B102" s="32" t="n"/>
      <c r="C102" s="16">
        <f>IF(B102="","",IF(COUNTIF('公司'!$A$8:$A$207,B102)&lt;&gt;1,"编号缺失或重复",INDEX('公司'!$B$8:$B$207,MATCH(B102,'公司'!$A$8:$A$207,0))))</f>
        <v/>
      </c>
      <c r="D102" s="32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32" t="n"/>
      <c r="Q102" s="10" t="n"/>
      <c r="R102" s="10" t="n"/>
      <c r="S102" s="10" t="n"/>
      <c r="T102" s="16">
        <f>IF(A102="","",IF(OR(COUNTIF($A$8:$A$207,A102)&lt;&gt;1,COUNTIF('公司'!$A$8:$A$207,B102)&lt;&gt;1,AND(D102&lt;&gt;"",COUNTIF('联系人'!$A$8:$A$207,D102)&lt;&gt;1)),"检查编号或关联","正常"))</f>
        <v/>
      </c>
    </row>
    <row r="103" ht="34" customHeight="1">
      <c r="A103" s="32" t="n"/>
      <c r="B103" s="32" t="n"/>
      <c r="C103" s="16">
        <f>IF(B103="","",IF(COUNTIF('公司'!$A$8:$A$207,B103)&lt;&gt;1,"编号缺失或重复",INDEX('公司'!$B$8:$B$207,MATCH(B103,'公司'!$A$8:$A$207,0))))</f>
        <v/>
      </c>
      <c r="D103" s="32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32" t="n"/>
      <c r="Q103" s="10" t="n"/>
      <c r="R103" s="10" t="n"/>
      <c r="S103" s="10" t="n"/>
      <c r="T103" s="16">
        <f>IF(A103="","",IF(OR(COUNTIF($A$8:$A$207,A103)&lt;&gt;1,COUNTIF('公司'!$A$8:$A$207,B103)&lt;&gt;1,AND(D103&lt;&gt;"",COUNTIF('联系人'!$A$8:$A$207,D103)&lt;&gt;1)),"检查编号或关联","正常"))</f>
        <v/>
      </c>
    </row>
    <row r="104" ht="34" customHeight="1">
      <c r="A104" s="32" t="n"/>
      <c r="B104" s="32" t="n"/>
      <c r="C104" s="16">
        <f>IF(B104="","",IF(COUNTIF('公司'!$A$8:$A$207,B104)&lt;&gt;1,"编号缺失或重复",INDEX('公司'!$B$8:$B$207,MATCH(B104,'公司'!$A$8:$A$207,0))))</f>
        <v/>
      </c>
      <c r="D104" s="32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32" t="n"/>
      <c r="Q104" s="10" t="n"/>
      <c r="R104" s="10" t="n"/>
      <c r="S104" s="10" t="n"/>
      <c r="T104" s="16">
        <f>IF(A104="","",IF(OR(COUNTIF($A$8:$A$207,A104)&lt;&gt;1,COUNTIF('公司'!$A$8:$A$207,B104)&lt;&gt;1,AND(D104&lt;&gt;"",COUNTIF('联系人'!$A$8:$A$207,D104)&lt;&gt;1)),"检查编号或关联","正常"))</f>
        <v/>
      </c>
    </row>
    <row r="105" ht="34" customHeight="1">
      <c r="A105" s="32" t="n"/>
      <c r="B105" s="32" t="n"/>
      <c r="C105" s="16">
        <f>IF(B105="","",IF(COUNTIF('公司'!$A$8:$A$207,B105)&lt;&gt;1,"编号缺失或重复",INDEX('公司'!$B$8:$B$207,MATCH(B105,'公司'!$A$8:$A$207,0))))</f>
        <v/>
      </c>
      <c r="D105" s="32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32" t="n"/>
      <c r="Q105" s="10" t="n"/>
      <c r="R105" s="10" t="n"/>
      <c r="S105" s="10" t="n"/>
      <c r="T105" s="16">
        <f>IF(A105="","",IF(OR(COUNTIF($A$8:$A$207,A105)&lt;&gt;1,COUNTIF('公司'!$A$8:$A$207,B105)&lt;&gt;1,AND(D105&lt;&gt;"",COUNTIF('联系人'!$A$8:$A$207,D105)&lt;&gt;1)),"检查编号或关联","正常"))</f>
        <v/>
      </c>
    </row>
    <row r="106" ht="34" customHeight="1">
      <c r="A106" s="32" t="n"/>
      <c r="B106" s="32" t="n"/>
      <c r="C106" s="16">
        <f>IF(B106="","",IF(COUNTIF('公司'!$A$8:$A$207,B106)&lt;&gt;1,"编号缺失或重复",INDEX('公司'!$B$8:$B$207,MATCH(B106,'公司'!$A$8:$A$207,0))))</f>
        <v/>
      </c>
      <c r="D106" s="32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32" t="n"/>
      <c r="Q106" s="10" t="n"/>
      <c r="R106" s="10" t="n"/>
      <c r="S106" s="10" t="n"/>
      <c r="T106" s="16">
        <f>IF(A106="","",IF(OR(COUNTIF($A$8:$A$207,A106)&lt;&gt;1,COUNTIF('公司'!$A$8:$A$207,B106)&lt;&gt;1,AND(D106&lt;&gt;"",COUNTIF('联系人'!$A$8:$A$207,D106)&lt;&gt;1)),"检查编号或关联","正常"))</f>
        <v/>
      </c>
    </row>
    <row r="107" ht="34" customHeight="1">
      <c r="A107" s="32" t="n"/>
      <c r="B107" s="32" t="n"/>
      <c r="C107" s="16">
        <f>IF(B107="","",IF(COUNTIF('公司'!$A$8:$A$207,B107)&lt;&gt;1,"编号缺失或重复",INDEX('公司'!$B$8:$B$207,MATCH(B107,'公司'!$A$8:$A$207,0))))</f>
        <v/>
      </c>
      <c r="D107" s="32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32" t="n"/>
      <c r="Q107" s="10" t="n"/>
      <c r="R107" s="10" t="n"/>
      <c r="S107" s="10" t="n"/>
      <c r="T107" s="16">
        <f>IF(A107="","",IF(OR(COUNTIF($A$8:$A$207,A107)&lt;&gt;1,COUNTIF('公司'!$A$8:$A$207,B107)&lt;&gt;1,AND(D107&lt;&gt;"",COUNTIF('联系人'!$A$8:$A$207,D107)&lt;&gt;1)),"检查编号或关联","正常"))</f>
        <v/>
      </c>
    </row>
    <row r="108" ht="34" customHeight="1">
      <c r="A108" s="32" t="n"/>
      <c r="B108" s="32" t="n"/>
      <c r="C108" s="16">
        <f>IF(B108="","",IF(COUNTIF('公司'!$A$8:$A$207,B108)&lt;&gt;1,"编号缺失或重复",INDEX('公司'!$B$8:$B$207,MATCH(B108,'公司'!$A$8:$A$207,0))))</f>
        <v/>
      </c>
      <c r="D108" s="32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32" t="n"/>
      <c r="Q108" s="10" t="n"/>
      <c r="R108" s="10" t="n"/>
      <c r="S108" s="10" t="n"/>
      <c r="T108" s="16">
        <f>IF(A108="","",IF(OR(COUNTIF($A$8:$A$207,A108)&lt;&gt;1,COUNTIF('公司'!$A$8:$A$207,B108)&lt;&gt;1,AND(D108&lt;&gt;"",COUNTIF('联系人'!$A$8:$A$207,D108)&lt;&gt;1)),"检查编号或关联","正常"))</f>
        <v/>
      </c>
    </row>
    <row r="109" ht="34" customHeight="1">
      <c r="A109" s="32" t="n"/>
      <c r="B109" s="32" t="n"/>
      <c r="C109" s="16">
        <f>IF(B109="","",IF(COUNTIF('公司'!$A$8:$A$207,B109)&lt;&gt;1,"编号缺失或重复",INDEX('公司'!$B$8:$B$207,MATCH(B109,'公司'!$A$8:$A$207,0))))</f>
        <v/>
      </c>
      <c r="D109" s="32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32" t="n"/>
      <c r="Q109" s="10" t="n"/>
      <c r="R109" s="10" t="n"/>
      <c r="S109" s="10" t="n"/>
      <c r="T109" s="16">
        <f>IF(A109="","",IF(OR(COUNTIF($A$8:$A$207,A109)&lt;&gt;1,COUNTIF('公司'!$A$8:$A$207,B109)&lt;&gt;1,AND(D109&lt;&gt;"",COUNTIF('联系人'!$A$8:$A$207,D109)&lt;&gt;1)),"检查编号或关联","正常"))</f>
        <v/>
      </c>
    </row>
    <row r="110" ht="34" customHeight="1">
      <c r="A110" s="32" t="n"/>
      <c r="B110" s="32" t="n"/>
      <c r="C110" s="16">
        <f>IF(B110="","",IF(COUNTIF('公司'!$A$8:$A$207,B110)&lt;&gt;1,"编号缺失或重复",INDEX('公司'!$B$8:$B$207,MATCH(B110,'公司'!$A$8:$A$207,0))))</f>
        <v/>
      </c>
      <c r="D110" s="32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32" t="n"/>
      <c r="Q110" s="10" t="n"/>
      <c r="R110" s="10" t="n"/>
      <c r="S110" s="10" t="n"/>
      <c r="T110" s="16">
        <f>IF(A110="","",IF(OR(COUNTIF($A$8:$A$207,A110)&lt;&gt;1,COUNTIF('公司'!$A$8:$A$207,B110)&lt;&gt;1,AND(D110&lt;&gt;"",COUNTIF('联系人'!$A$8:$A$207,D110)&lt;&gt;1)),"检查编号或关联","正常"))</f>
        <v/>
      </c>
    </row>
    <row r="111" ht="34" customHeight="1">
      <c r="A111" s="32" t="n"/>
      <c r="B111" s="32" t="n"/>
      <c r="C111" s="16">
        <f>IF(B111="","",IF(COUNTIF('公司'!$A$8:$A$207,B111)&lt;&gt;1,"编号缺失或重复",INDEX('公司'!$B$8:$B$207,MATCH(B111,'公司'!$A$8:$A$207,0))))</f>
        <v/>
      </c>
      <c r="D111" s="32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32" t="n"/>
      <c r="Q111" s="10" t="n"/>
      <c r="R111" s="10" t="n"/>
      <c r="S111" s="10" t="n"/>
      <c r="T111" s="16">
        <f>IF(A111="","",IF(OR(COUNTIF($A$8:$A$207,A111)&lt;&gt;1,COUNTIF('公司'!$A$8:$A$207,B111)&lt;&gt;1,AND(D111&lt;&gt;"",COUNTIF('联系人'!$A$8:$A$207,D111)&lt;&gt;1)),"检查编号或关联","正常"))</f>
        <v/>
      </c>
    </row>
    <row r="112" ht="34" customHeight="1">
      <c r="A112" s="32" t="n"/>
      <c r="B112" s="32" t="n"/>
      <c r="C112" s="16">
        <f>IF(B112="","",IF(COUNTIF('公司'!$A$8:$A$207,B112)&lt;&gt;1,"编号缺失或重复",INDEX('公司'!$B$8:$B$207,MATCH(B112,'公司'!$A$8:$A$207,0))))</f>
        <v/>
      </c>
      <c r="D112" s="32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32" t="n"/>
      <c r="Q112" s="10" t="n"/>
      <c r="R112" s="10" t="n"/>
      <c r="S112" s="10" t="n"/>
      <c r="T112" s="16">
        <f>IF(A112="","",IF(OR(COUNTIF($A$8:$A$207,A112)&lt;&gt;1,COUNTIF('公司'!$A$8:$A$207,B112)&lt;&gt;1,AND(D112&lt;&gt;"",COUNTIF('联系人'!$A$8:$A$207,D112)&lt;&gt;1)),"检查编号或关联","正常"))</f>
        <v/>
      </c>
    </row>
    <row r="113" ht="34" customHeight="1">
      <c r="A113" s="32" t="n"/>
      <c r="B113" s="32" t="n"/>
      <c r="C113" s="16">
        <f>IF(B113="","",IF(COUNTIF('公司'!$A$8:$A$207,B113)&lt;&gt;1,"编号缺失或重复",INDEX('公司'!$B$8:$B$207,MATCH(B113,'公司'!$A$8:$A$207,0))))</f>
        <v/>
      </c>
      <c r="D113" s="32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32" t="n"/>
      <c r="Q113" s="10" t="n"/>
      <c r="R113" s="10" t="n"/>
      <c r="S113" s="10" t="n"/>
      <c r="T113" s="16">
        <f>IF(A113="","",IF(OR(COUNTIF($A$8:$A$207,A113)&lt;&gt;1,COUNTIF('公司'!$A$8:$A$207,B113)&lt;&gt;1,AND(D113&lt;&gt;"",COUNTIF('联系人'!$A$8:$A$207,D113)&lt;&gt;1)),"检查编号或关联","正常"))</f>
        <v/>
      </c>
    </row>
    <row r="114" ht="34" customHeight="1">
      <c r="A114" s="32" t="n"/>
      <c r="B114" s="32" t="n"/>
      <c r="C114" s="16">
        <f>IF(B114="","",IF(COUNTIF('公司'!$A$8:$A$207,B114)&lt;&gt;1,"编号缺失或重复",INDEX('公司'!$B$8:$B$207,MATCH(B114,'公司'!$A$8:$A$207,0))))</f>
        <v/>
      </c>
      <c r="D114" s="32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32" t="n"/>
      <c r="Q114" s="10" t="n"/>
      <c r="R114" s="10" t="n"/>
      <c r="S114" s="10" t="n"/>
      <c r="T114" s="16">
        <f>IF(A114="","",IF(OR(COUNTIF($A$8:$A$207,A114)&lt;&gt;1,COUNTIF('公司'!$A$8:$A$207,B114)&lt;&gt;1,AND(D114&lt;&gt;"",COUNTIF('联系人'!$A$8:$A$207,D114)&lt;&gt;1)),"检查编号或关联","正常"))</f>
        <v/>
      </c>
    </row>
    <row r="115" ht="34" customHeight="1">
      <c r="A115" s="32" t="n"/>
      <c r="B115" s="32" t="n"/>
      <c r="C115" s="16">
        <f>IF(B115="","",IF(COUNTIF('公司'!$A$8:$A$207,B115)&lt;&gt;1,"编号缺失或重复",INDEX('公司'!$B$8:$B$207,MATCH(B115,'公司'!$A$8:$A$207,0))))</f>
        <v/>
      </c>
      <c r="D115" s="32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32" t="n"/>
      <c r="Q115" s="10" t="n"/>
      <c r="R115" s="10" t="n"/>
      <c r="S115" s="10" t="n"/>
      <c r="T115" s="16">
        <f>IF(A115="","",IF(OR(COUNTIF($A$8:$A$207,A115)&lt;&gt;1,COUNTIF('公司'!$A$8:$A$207,B115)&lt;&gt;1,AND(D115&lt;&gt;"",COUNTIF('联系人'!$A$8:$A$207,D115)&lt;&gt;1)),"检查编号或关联","正常"))</f>
        <v/>
      </c>
    </row>
    <row r="116" ht="34" customHeight="1">
      <c r="A116" s="32" t="n"/>
      <c r="B116" s="32" t="n"/>
      <c r="C116" s="16">
        <f>IF(B116="","",IF(COUNTIF('公司'!$A$8:$A$207,B116)&lt;&gt;1,"编号缺失或重复",INDEX('公司'!$B$8:$B$207,MATCH(B116,'公司'!$A$8:$A$207,0))))</f>
        <v/>
      </c>
      <c r="D116" s="32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32" t="n"/>
      <c r="Q116" s="10" t="n"/>
      <c r="R116" s="10" t="n"/>
      <c r="S116" s="10" t="n"/>
      <c r="T116" s="16">
        <f>IF(A116="","",IF(OR(COUNTIF($A$8:$A$207,A116)&lt;&gt;1,COUNTIF('公司'!$A$8:$A$207,B116)&lt;&gt;1,AND(D116&lt;&gt;"",COUNTIF('联系人'!$A$8:$A$207,D116)&lt;&gt;1)),"检查编号或关联","正常"))</f>
        <v/>
      </c>
    </row>
    <row r="117" ht="34" customHeight="1">
      <c r="A117" s="32" t="n"/>
      <c r="B117" s="32" t="n"/>
      <c r="C117" s="16">
        <f>IF(B117="","",IF(COUNTIF('公司'!$A$8:$A$207,B117)&lt;&gt;1,"编号缺失或重复",INDEX('公司'!$B$8:$B$207,MATCH(B117,'公司'!$A$8:$A$207,0))))</f>
        <v/>
      </c>
      <c r="D117" s="32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32" t="n"/>
      <c r="Q117" s="10" t="n"/>
      <c r="R117" s="10" t="n"/>
      <c r="S117" s="10" t="n"/>
      <c r="T117" s="16">
        <f>IF(A117="","",IF(OR(COUNTIF($A$8:$A$207,A117)&lt;&gt;1,COUNTIF('公司'!$A$8:$A$207,B117)&lt;&gt;1,AND(D117&lt;&gt;"",COUNTIF('联系人'!$A$8:$A$207,D117)&lt;&gt;1)),"检查编号或关联","正常"))</f>
        <v/>
      </c>
    </row>
    <row r="118" ht="34" customHeight="1">
      <c r="A118" s="32" t="n"/>
      <c r="B118" s="32" t="n"/>
      <c r="C118" s="16">
        <f>IF(B118="","",IF(COUNTIF('公司'!$A$8:$A$207,B118)&lt;&gt;1,"编号缺失或重复",INDEX('公司'!$B$8:$B$207,MATCH(B118,'公司'!$A$8:$A$207,0))))</f>
        <v/>
      </c>
      <c r="D118" s="32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32" t="n"/>
      <c r="Q118" s="10" t="n"/>
      <c r="R118" s="10" t="n"/>
      <c r="S118" s="10" t="n"/>
      <c r="T118" s="16">
        <f>IF(A118="","",IF(OR(COUNTIF($A$8:$A$207,A118)&lt;&gt;1,COUNTIF('公司'!$A$8:$A$207,B118)&lt;&gt;1,AND(D118&lt;&gt;"",COUNTIF('联系人'!$A$8:$A$207,D118)&lt;&gt;1)),"检查编号或关联","正常"))</f>
        <v/>
      </c>
    </row>
    <row r="119" ht="34" customHeight="1">
      <c r="A119" s="32" t="n"/>
      <c r="B119" s="32" t="n"/>
      <c r="C119" s="16">
        <f>IF(B119="","",IF(COUNTIF('公司'!$A$8:$A$207,B119)&lt;&gt;1,"编号缺失或重复",INDEX('公司'!$B$8:$B$207,MATCH(B119,'公司'!$A$8:$A$207,0))))</f>
        <v/>
      </c>
      <c r="D119" s="32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32" t="n"/>
      <c r="Q119" s="10" t="n"/>
      <c r="R119" s="10" t="n"/>
      <c r="S119" s="10" t="n"/>
      <c r="T119" s="16">
        <f>IF(A119="","",IF(OR(COUNTIF($A$8:$A$207,A119)&lt;&gt;1,COUNTIF('公司'!$A$8:$A$207,B119)&lt;&gt;1,AND(D119&lt;&gt;"",COUNTIF('联系人'!$A$8:$A$207,D119)&lt;&gt;1)),"检查编号或关联","正常"))</f>
        <v/>
      </c>
    </row>
    <row r="120" ht="34" customHeight="1">
      <c r="A120" s="32" t="n"/>
      <c r="B120" s="32" t="n"/>
      <c r="C120" s="16">
        <f>IF(B120="","",IF(COUNTIF('公司'!$A$8:$A$207,B120)&lt;&gt;1,"编号缺失或重复",INDEX('公司'!$B$8:$B$207,MATCH(B120,'公司'!$A$8:$A$207,0))))</f>
        <v/>
      </c>
      <c r="D120" s="32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32" t="n"/>
      <c r="Q120" s="10" t="n"/>
      <c r="R120" s="10" t="n"/>
      <c r="S120" s="10" t="n"/>
      <c r="T120" s="16">
        <f>IF(A120="","",IF(OR(COUNTIF($A$8:$A$207,A120)&lt;&gt;1,COUNTIF('公司'!$A$8:$A$207,B120)&lt;&gt;1,AND(D120&lt;&gt;"",COUNTIF('联系人'!$A$8:$A$207,D120)&lt;&gt;1)),"检查编号或关联","正常"))</f>
        <v/>
      </c>
    </row>
    <row r="121" ht="34" customHeight="1">
      <c r="A121" s="32" t="n"/>
      <c r="B121" s="32" t="n"/>
      <c r="C121" s="16">
        <f>IF(B121="","",IF(COUNTIF('公司'!$A$8:$A$207,B121)&lt;&gt;1,"编号缺失或重复",INDEX('公司'!$B$8:$B$207,MATCH(B121,'公司'!$A$8:$A$207,0))))</f>
        <v/>
      </c>
      <c r="D121" s="32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32" t="n"/>
      <c r="Q121" s="10" t="n"/>
      <c r="R121" s="10" t="n"/>
      <c r="S121" s="10" t="n"/>
      <c r="T121" s="16">
        <f>IF(A121="","",IF(OR(COUNTIF($A$8:$A$207,A121)&lt;&gt;1,COUNTIF('公司'!$A$8:$A$207,B121)&lt;&gt;1,AND(D121&lt;&gt;"",COUNTIF('联系人'!$A$8:$A$207,D121)&lt;&gt;1)),"检查编号或关联","正常"))</f>
        <v/>
      </c>
    </row>
    <row r="122" ht="34" customHeight="1">
      <c r="A122" s="32" t="n"/>
      <c r="B122" s="32" t="n"/>
      <c r="C122" s="16">
        <f>IF(B122="","",IF(COUNTIF('公司'!$A$8:$A$207,B122)&lt;&gt;1,"编号缺失或重复",INDEX('公司'!$B$8:$B$207,MATCH(B122,'公司'!$A$8:$A$207,0))))</f>
        <v/>
      </c>
      <c r="D122" s="32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32" t="n"/>
      <c r="Q122" s="10" t="n"/>
      <c r="R122" s="10" t="n"/>
      <c r="S122" s="10" t="n"/>
      <c r="T122" s="16">
        <f>IF(A122="","",IF(OR(COUNTIF($A$8:$A$207,A122)&lt;&gt;1,COUNTIF('公司'!$A$8:$A$207,B122)&lt;&gt;1,AND(D122&lt;&gt;"",COUNTIF('联系人'!$A$8:$A$207,D122)&lt;&gt;1)),"检查编号或关联","正常"))</f>
        <v/>
      </c>
    </row>
    <row r="123" ht="34" customHeight="1">
      <c r="A123" s="32" t="n"/>
      <c r="B123" s="32" t="n"/>
      <c r="C123" s="16">
        <f>IF(B123="","",IF(COUNTIF('公司'!$A$8:$A$207,B123)&lt;&gt;1,"编号缺失或重复",INDEX('公司'!$B$8:$B$207,MATCH(B123,'公司'!$A$8:$A$207,0))))</f>
        <v/>
      </c>
      <c r="D123" s="32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32" t="n"/>
      <c r="Q123" s="10" t="n"/>
      <c r="R123" s="10" t="n"/>
      <c r="S123" s="10" t="n"/>
      <c r="T123" s="16">
        <f>IF(A123="","",IF(OR(COUNTIF($A$8:$A$207,A123)&lt;&gt;1,COUNTIF('公司'!$A$8:$A$207,B123)&lt;&gt;1,AND(D123&lt;&gt;"",COUNTIF('联系人'!$A$8:$A$207,D123)&lt;&gt;1)),"检查编号或关联","正常"))</f>
        <v/>
      </c>
    </row>
    <row r="124" ht="34" customHeight="1">
      <c r="A124" s="32" t="n"/>
      <c r="B124" s="32" t="n"/>
      <c r="C124" s="16">
        <f>IF(B124="","",IF(COUNTIF('公司'!$A$8:$A$207,B124)&lt;&gt;1,"编号缺失或重复",INDEX('公司'!$B$8:$B$207,MATCH(B124,'公司'!$A$8:$A$207,0))))</f>
        <v/>
      </c>
      <c r="D124" s="32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32" t="n"/>
      <c r="Q124" s="10" t="n"/>
      <c r="R124" s="10" t="n"/>
      <c r="S124" s="10" t="n"/>
      <c r="T124" s="16">
        <f>IF(A124="","",IF(OR(COUNTIF($A$8:$A$207,A124)&lt;&gt;1,COUNTIF('公司'!$A$8:$A$207,B124)&lt;&gt;1,AND(D124&lt;&gt;"",COUNTIF('联系人'!$A$8:$A$207,D124)&lt;&gt;1)),"检查编号或关联","正常"))</f>
        <v/>
      </c>
    </row>
    <row r="125" ht="34" customHeight="1">
      <c r="A125" s="32" t="n"/>
      <c r="B125" s="32" t="n"/>
      <c r="C125" s="16">
        <f>IF(B125="","",IF(COUNTIF('公司'!$A$8:$A$207,B125)&lt;&gt;1,"编号缺失或重复",INDEX('公司'!$B$8:$B$207,MATCH(B125,'公司'!$A$8:$A$207,0))))</f>
        <v/>
      </c>
      <c r="D125" s="32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32" t="n"/>
      <c r="Q125" s="10" t="n"/>
      <c r="R125" s="10" t="n"/>
      <c r="S125" s="10" t="n"/>
      <c r="T125" s="16">
        <f>IF(A125="","",IF(OR(COUNTIF($A$8:$A$207,A125)&lt;&gt;1,COUNTIF('公司'!$A$8:$A$207,B125)&lt;&gt;1,AND(D125&lt;&gt;"",COUNTIF('联系人'!$A$8:$A$207,D125)&lt;&gt;1)),"检查编号或关联","正常"))</f>
        <v/>
      </c>
    </row>
    <row r="126" ht="34" customHeight="1">
      <c r="A126" s="32" t="n"/>
      <c r="B126" s="32" t="n"/>
      <c r="C126" s="16">
        <f>IF(B126="","",IF(COUNTIF('公司'!$A$8:$A$207,B126)&lt;&gt;1,"编号缺失或重复",INDEX('公司'!$B$8:$B$207,MATCH(B126,'公司'!$A$8:$A$207,0))))</f>
        <v/>
      </c>
      <c r="D126" s="32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32" t="n"/>
      <c r="Q126" s="10" t="n"/>
      <c r="R126" s="10" t="n"/>
      <c r="S126" s="10" t="n"/>
      <c r="T126" s="16">
        <f>IF(A126="","",IF(OR(COUNTIF($A$8:$A$207,A126)&lt;&gt;1,COUNTIF('公司'!$A$8:$A$207,B126)&lt;&gt;1,AND(D126&lt;&gt;"",COUNTIF('联系人'!$A$8:$A$207,D126)&lt;&gt;1)),"检查编号或关联","正常"))</f>
        <v/>
      </c>
    </row>
    <row r="127" ht="34" customHeight="1">
      <c r="A127" s="32" t="n"/>
      <c r="B127" s="32" t="n"/>
      <c r="C127" s="16">
        <f>IF(B127="","",IF(COUNTIF('公司'!$A$8:$A$207,B127)&lt;&gt;1,"编号缺失或重复",INDEX('公司'!$B$8:$B$207,MATCH(B127,'公司'!$A$8:$A$207,0))))</f>
        <v/>
      </c>
      <c r="D127" s="32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32" t="n"/>
      <c r="Q127" s="10" t="n"/>
      <c r="R127" s="10" t="n"/>
      <c r="S127" s="10" t="n"/>
      <c r="T127" s="16">
        <f>IF(A127="","",IF(OR(COUNTIF($A$8:$A$207,A127)&lt;&gt;1,COUNTIF('公司'!$A$8:$A$207,B127)&lt;&gt;1,AND(D127&lt;&gt;"",COUNTIF('联系人'!$A$8:$A$207,D127)&lt;&gt;1)),"检查编号或关联","正常"))</f>
        <v/>
      </c>
    </row>
    <row r="128" ht="34" customHeight="1">
      <c r="A128" s="32" t="n"/>
      <c r="B128" s="32" t="n"/>
      <c r="C128" s="16">
        <f>IF(B128="","",IF(COUNTIF('公司'!$A$8:$A$207,B128)&lt;&gt;1,"编号缺失或重复",INDEX('公司'!$B$8:$B$207,MATCH(B128,'公司'!$A$8:$A$207,0))))</f>
        <v/>
      </c>
      <c r="D128" s="32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32" t="n"/>
      <c r="Q128" s="10" t="n"/>
      <c r="R128" s="10" t="n"/>
      <c r="S128" s="10" t="n"/>
      <c r="T128" s="16">
        <f>IF(A128="","",IF(OR(COUNTIF($A$8:$A$207,A128)&lt;&gt;1,COUNTIF('公司'!$A$8:$A$207,B128)&lt;&gt;1,AND(D128&lt;&gt;"",COUNTIF('联系人'!$A$8:$A$207,D128)&lt;&gt;1)),"检查编号或关联","正常"))</f>
        <v/>
      </c>
    </row>
    <row r="129" ht="34" customHeight="1">
      <c r="A129" s="32" t="n"/>
      <c r="B129" s="32" t="n"/>
      <c r="C129" s="16">
        <f>IF(B129="","",IF(COUNTIF('公司'!$A$8:$A$207,B129)&lt;&gt;1,"编号缺失或重复",INDEX('公司'!$B$8:$B$207,MATCH(B129,'公司'!$A$8:$A$207,0))))</f>
        <v/>
      </c>
      <c r="D129" s="32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32" t="n"/>
      <c r="Q129" s="10" t="n"/>
      <c r="R129" s="10" t="n"/>
      <c r="S129" s="10" t="n"/>
      <c r="T129" s="16">
        <f>IF(A129="","",IF(OR(COUNTIF($A$8:$A$207,A129)&lt;&gt;1,COUNTIF('公司'!$A$8:$A$207,B129)&lt;&gt;1,AND(D129&lt;&gt;"",COUNTIF('联系人'!$A$8:$A$207,D129)&lt;&gt;1)),"检查编号或关联","正常"))</f>
        <v/>
      </c>
    </row>
    <row r="130" ht="34" customHeight="1">
      <c r="A130" s="32" t="n"/>
      <c r="B130" s="32" t="n"/>
      <c r="C130" s="16">
        <f>IF(B130="","",IF(COUNTIF('公司'!$A$8:$A$207,B130)&lt;&gt;1,"编号缺失或重复",INDEX('公司'!$B$8:$B$207,MATCH(B130,'公司'!$A$8:$A$207,0))))</f>
        <v/>
      </c>
      <c r="D130" s="32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32" t="n"/>
      <c r="Q130" s="10" t="n"/>
      <c r="R130" s="10" t="n"/>
      <c r="S130" s="10" t="n"/>
      <c r="T130" s="16">
        <f>IF(A130="","",IF(OR(COUNTIF($A$8:$A$207,A130)&lt;&gt;1,COUNTIF('公司'!$A$8:$A$207,B130)&lt;&gt;1,AND(D130&lt;&gt;"",COUNTIF('联系人'!$A$8:$A$207,D130)&lt;&gt;1)),"检查编号或关联","正常"))</f>
        <v/>
      </c>
    </row>
    <row r="131" ht="34" customHeight="1">
      <c r="A131" s="32" t="n"/>
      <c r="B131" s="32" t="n"/>
      <c r="C131" s="16">
        <f>IF(B131="","",IF(COUNTIF('公司'!$A$8:$A$207,B131)&lt;&gt;1,"编号缺失或重复",INDEX('公司'!$B$8:$B$207,MATCH(B131,'公司'!$A$8:$A$207,0))))</f>
        <v/>
      </c>
      <c r="D131" s="32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32" t="n"/>
      <c r="Q131" s="10" t="n"/>
      <c r="R131" s="10" t="n"/>
      <c r="S131" s="10" t="n"/>
      <c r="T131" s="16">
        <f>IF(A131="","",IF(OR(COUNTIF($A$8:$A$207,A131)&lt;&gt;1,COUNTIF('公司'!$A$8:$A$207,B131)&lt;&gt;1,AND(D131&lt;&gt;"",COUNTIF('联系人'!$A$8:$A$207,D131)&lt;&gt;1)),"检查编号或关联","正常"))</f>
        <v/>
      </c>
    </row>
    <row r="132" ht="34" customHeight="1">
      <c r="A132" s="32" t="n"/>
      <c r="B132" s="32" t="n"/>
      <c r="C132" s="16">
        <f>IF(B132="","",IF(COUNTIF('公司'!$A$8:$A$207,B132)&lt;&gt;1,"编号缺失或重复",INDEX('公司'!$B$8:$B$207,MATCH(B132,'公司'!$A$8:$A$207,0))))</f>
        <v/>
      </c>
      <c r="D132" s="32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32" t="n"/>
      <c r="Q132" s="10" t="n"/>
      <c r="R132" s="10" t="n"/>
      <c r="S132" s="10" t="n"/>
      <c r="T132" s="16">
        <f>IF(A132="","",IF(OR(COUNTIF($A$8:$A$207,A132)&lt;&gt;1,COUNTIF('公司'!$A$8:$A$207,B132)&lt;&gt;1,AND(D132&lt;&gt;"",COUNTIF('联系人'!$A$8:$A$207,D132)&lt;&gt;1)),"检查编号或关联","正常"))</f>
        <v/>
      </c>
    </row>
    <row r="133" ht="34" customHeight="1">
      <c r="A133" s="32" t="n"/>
      <c r="B133" s="32" t="n"/>
      <c r="C133" s="16">
        <f>IF(B133="","",IF(COUNTIF('公司'!$A$8:$A$207,B133)&lt;&gt;1,"编号缺失或重复",INDEX('公司'!$B$8:$B$207,MATCH(B133,'公司'!$A$8:$A$207,0))))</f>
        <v/>
      </c>
      <c r="D133" s="32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32" t="n"/>
      <c r="Q133" s="10" t="n"/>
      <c r="R133" s="10" t="n"/>
      <c r="S133" s="10" t="n"/>
      <c r="T133" s="16">
        <f>IF(A133="","",IF(OR(COUNTIF($A$8:$A$207,A133)&lt;&gt;1,COUNTIF('公司'!$A$8:$A$207,B133)&lt;&gt;1,AND(D133&lt;&gt;"",COUNTIF('联系人'!$A$8:$A$207,D133)&lt;&gt;1)),"检查编号或关联","正常"))</f>
        <v/>
      </c>
    </row>
    <row r="134" ht="34" customHeight="1">
      <c r="A134" s="32" t="n"/>
      <c r="B134" s="32" t="n"/>
      <c r="C134" s="16">
        <f>IF(B134="","",IF(COUNTIF('公司'!$A$8:$A$207,B134)&lt;&gt;1,"编号缺失或重复",INDEX('公司'!$B$8:$B$207,MATCH(B134,'公司'!$A$8:$A$207,0))))</f>
        <v/>
      </c>
      <c r="D134" s="32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32" t="n"/>
      <c r="Q134" s="10" t="n"/>
      <c r="R134" s="10" t="n"/>
      <c r="S134" s="10" t="n"/>
      <c r="T134" s="16">
        <f>IF(A134="","",IF(OR(COUNTIF($A$8:$A$207,A134)&lt;&gt;1,COUNTIF('公司'!$A$8:$A$207,B134)&lt;&gt;1,AND(D134&lt;&gt;"",COUNTIF('联系人'!$A$8:$A$207,D134)&lt;&gt;1)),"检查编号或关联","正常"))</f>
        <v/>
      </c>
    </row>
    <row r="135" ht="34" customHeight="1">
      <c r="A135" s="32" t="n"/>
      <c r="B135" s="32" t="n"/>
      <c r="C135" s="16">
        <f>IF(B135="","",IF(COUNTIF('公司'!$A$8:$A$207,B135)&lt;&gt;1,"编号缺失或重复",INDEX('公司'!$B$8:$B$207,MATCH(B135,'公司'!$A$8:$A$207,0))))</f>
        <v/>
      </c>
      <c r="D135" s="32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32" t="n"/>
      <c r="Q135" s="10" t="n"/>
      <c r="R135" s="10" t="n"/>
      <c r="S135" s="10" t="n"/>
      <c r="T135" s="16">
        <f>IF(A135="","",IF(OR(COUNTIF($A$8:$A$207,A135)&lt;&gt;1,COUNTIF('公司'!$A$8:$A$207,B135)&lt;&gt;1,AND(D135&lt;&gt;"",COUNTIF('联系人'!$A$8:$A$207,D135)&lt;&gt;1)),"检查编号或关联","正常"))</f>
        <v/>
      </c>
    </row>
    <row r="136" ht="34" customHeight="1">
      <c r="A136" s="32" t="n"/>
      <c r="B136" s="32" t="n"/>
      <c r="C136" s="16">
        <f>IF(B136="","",IF(COUNTIF('公司'!$A$8:$A$207,B136)&lt;&gt;1,"编号缺失或重复",INDEX('公司'!$B$8:$B$207,MATCH(B136,'公司'!$A$8:$A$207,0))))</f>
        <v/>
      </c>
      <c r="D136" s="32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32" t="n"/>
      <c r="Q136" s="10" t="n"/>
      <c r="R136" s="10" t="n"/>
      <c r="S136" s="10" t="n"/>
      <c r="T136" s="16">
        <f>IF(A136="","",IF(OR(COUNTIF($A$8:$A$207,A136)&lt;&gt;1,COUNTIF('公司'!$A$8:$A$207,B136)&lt;&gt;1,AND(D136&lt;&gt;"",COUNTIF('联系人'!$A$8:$A$207,D136)&lt;&gt;1)),"检查编号或关联","正常"))</f>
        <v/>
      </c>
    </row>
    <row r="137" ht="34" customHeight="1">
      <c r="A137" s="32" t="n"/>
      <c r="B137" s="32" t="n"/>
      <c r="C137" s="16">
        <f>IF(B137="","",IF(COUNTIF('公司'!$A$8:$A$207,B137)&lt;&gt;1,"编号缺失或重复",INDEX('公司'!$B$8:$B$207,MATCH(B137,'公司'!$A$8:$A$207,0))))</f>
        <v/>
      </c>
      <c r="D137" s="32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32" t="n"/>
      <c r="Q137" s="10" t="n"/>
      <c r="R137" s="10" t="n"/>
      <c r="S137" s="10" t="n"/>
      <c r="T137" s="16">
        <f>IF(A137="","",IF(OR(COUNTIF($A$8:$A$207,A137)&lt;&gt;1,COUNTIF('公司'!$A$8:$A$207,B137)&lt;&gt;1,AND(D137&lt;&gt;"",COUNTIF('联系人'!$A$8:$A$207,D137)&lt;&gt;1)),"检查编号或关联","正常"))</f>
        <v/>
      </c>
    </row>
    <row r="138" ht="34" customHeight="1">
      <c r="A138" s="32" t="n"/>
      <c r="B138" s="32" t="n"/>
      <c r="C138" s="16">
        <f>IF(B138="","",IF(COUNTIF('公司'!$A$8:$A$207,B138)&lt;&gt;1,"编号缺失或重复",INDEX('公司'!$B$8:$B$207,MATCH(B138,'公司'!$A$8:$A$207,0))))</f>
        <v/>
      </c>
      <c r="D138" s="32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32" t="n"/>
      <c r="Q138" s="10" t="n"/>
      <c r="R138" s="10" t="n"/>
      <c r="S138" s="10" t="n"/>
      <c r="T138" s="16">
        <f>IF(A138="","",IF(OR(COUNTIF($A$8:$A$207,A138)&lt;&gt;1,COUNTIF('公司'!$A$8:$A$207,B138)&lt;&gt;1,AND(D138&lt;&gt;"",COUNTIF('联系人'!$A$8:$A$207,D138)&lt;&gt;1)),"检查编号或关联","正常"))</f>
        <v/>
      </c>
    </row>
    <row r="139" ht="34" customHeight="1">
      <c r="A139" s="32" t="n"/>
      <c r="B139" s="32" t="n"/>
      <c r="C139" s="16">
        <f>IF(B139="","",IF(COUNTIF('公司'!$A$8:$A$207,B139)&lt;&gt;1,"编号缺失或重复",INDEX('公司'!$B$8:$B$207,MATCH(B139,'公司'!$A$8:$A$207,0))))</f>
        <v/>
      </c>
      <c r="D139" s="32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32" t="n"/>
      <c r="Q139" s="10" t="n"/>
      <c r="R139" s="10" t="n"/>
      <c r="S139" s="10" t="n"/>
      <c r="T139" s="16">
        <f>IF(A139="","",IF(OR(COUNTIF($A$8:$A$207,A139)&lt;&gt;1,COUNTIF('公司'!$A$8:$A$207,B139)&lt;&gt;1,AND(D139&lt;&gt;"",COUNTIF('联系人'!$A$8:$A$207,D139)&lt;&gt;1)),"检查编号或关联","正常"))</f>
        <v/>
      </c>
    </row>
    <row r="140" ht="34" customHeight="1">
      <c r="A140" s="32" t="n"/>
      <c r="B140" s="32" t="n"/>
      <c r="C140" s="16">
        <f>IF(B140="","",IF(COUNTIF('公司'!$A$8:$A$207,B140)&lt;&gt;1,"编号缺失或重复",INDEX('公司'!$B$8:$B$207,MATCH(B140,'公司'!$A$8:$A$207,0))))</f>
        <v/>
      </c>
      <c r="D140" s="32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32" t="n"/>
      <c r="Q140" s="10" t="n"/>
      <c r="R140" s="10" t="n"/>
      <c r="S140" s="10" t="n"/>
      <c r="T140" s="16">
        <f>IF(A140="","",IF(OR(COUNTIF($A$8:$A$207,A140)&lt;&gt;1,COUNTIF('公司'!$A$8:$A$207,B140)&lt;&gt;1,AND(D140&lt;&gt;"",COUNTIF('联系人'!$A$8:$A$207,D140)&lt;&gt;1)),"检查编号或关联","正常"))</f>
        <v/>
      </c>
    </row>
    <row r="141" ht="34" customHeight="1">
      <c r="A141" s="32" t="n"/>
      <c r="B141" s="32" t="n"/>
      <c r="C141" s="16">
        <f>IF(B141="","",IF(COUNTIF('公司'!$A$8:$A$207,B141)&lt;&gt;1,"编号缺失或重复",INDEX('公司'!$B$8:$B$207,MATCH(B141,'公司'!$A$8:$A$207,0))))</f>
        <v/>
      </c>
      <c r="D141" s="32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32" t="n"/>
      <c r="Q141" s="10" t="n"/>
      <c r="R141" s="10" t="n"/>
      <c r="S141" s="10" t="n"/>
      <c r="T141" s="16">
        <f>IF(A141="","",IF(OR(COUNTIF($A$8:$A$207,A141)&lt;&gt;1,COUNTIF('公司'!$A$8:$A$207,B141)&lt;&gt;1,AND(D141&lt;&gt;"",COUNTIF('联系人'!$A$8:$A$207,D141)&lt;&gt;1)),"检查编号或关联","正常"))</f>
        <v/>
      </c>
    </row>
    <row r="142" ht="34" customHeight="1">
      <c r="A142" s="32" t="n"/>
      <c r="B142" s="32" t="n"/>
      <c r="C142" s="16">
        <f>IF(B142="","",IF(COUNTIF('公司'!$A$8:$A$207,B142)&lt;&gt;1,"编号缺失或重复",INDEX('公司'!$B$8:$B$207,MATCH(B142,'公司'!$A$8:$A$207,0))))</f>
        <v/>
      </c>
      <c r="D142" s="32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32" t="n"/>
      <c r="Q142" s="10" t="n"/>
      <c r="R142" s="10" t="n"/>
      <c r="S142" s="10" t="n"/>
      <c r="T142" s="16">
        <f>IF(A142="","",IF(OR(COUNTIF($A$8:$A$207,A142)&lt;&gt;1,COUNTIF('公司'!$A$8:$A$207,B142)&lt;&gt;1,AND(D142&lt;&gt;"",COUNTIF('联系人'!$A$8:$A$207,D142)&lt;&gt;1)),"检查编号或关联","正常"))</f>
        <v/>
      </c>
    </row>
    <row r="143" ht="34" customHeight="1">
      <c r="A143" s="32" t="n"/>
      <c r="B143" s="32" t="n"/>
      <c r="C143" s="16">
        <f>IF(B143="","",IF(COUNTIF('公司'!$A$8:$A$207,B143)&lt;&gt;1,"编号缺失或重复",INDEX('公司'!$B$8:$B$207,MATCH(B143,'公司'!$A$8:$A$207,0))))</f>
        <v/>
      </c>
      <c r="D143" s="32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32" t="n"/>
      <c r="Q143" s="10" t="n"/>
      <c r="R143" s="10" t="n"/>
      <c r="S143" s="10" t="n"/>
      <c r="T143" s="16">
        <f>IF(A143="","",IF(OR(COUNTIF($A$8:$A$207,A143)&lt;&gt;1,COUNTIF('公司'!$A$8:$A$207,B143)&lt;&gt;1,AND(D143&lt;&gt;"",COUNTIF('联系人'!$A$8:$A$207,D143)&lt;&gt;1)),"检查编号或关联","正常"))</f>
        <v/>
      </c>
    </row>
    <row r="144" ht="34" customHeight="1">
      <c r="A144" s="32" t="n"/>
      <c r="B144" s="32" t="n"/>
      <c r="C144" s="16">
        <f>IF(B144="","",IF(COUNTIF('公司'!$A$8:$A$207,B144)&lt;&gt;1,"编号缺失或重复",INDEX('公司'!$B$8:$B$207,MATCH(B144,'公司'!$A$8:$A$207,0))))</f>
        <v/>
      </c>
      <c r="D144" s="32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32" t="n"/>
      <c r="Q144" s="10" t="n"/>
      <c r="R144" s="10" t="n"/>
      <c r="S144" s="10" t="n"/>
      <c r="T144" s="16">
        <f>IF(A144="","",IF(OR(COUNTIF($A$8:$A$207,A144)&lt;&gt;1,COUNTIF('公司'!$A$8:$A$207,B144)&lt;&gt;1,AND(D144&lt;&gt;"",COUNTIF('联系人'!$A$8:$A$207,D144)&lt;&gt;1)),"检查编号或关联","正常"))</f>
        <v/>
      </c>
    </row>
    <row r="145" ht="34" customHeight="1">
      <c r="A145" s="32" t="n"/>
      <c r="B145" s="32" t="n"/>
      <c r="C145" s="16">
        <f>IF(B145="","",IF(COUNTIF('公司'!$A$8:$A$207,B145)&lt;&gt;1,"编号缺失或重复",INDEX('公司'!$B$8:$B$207,MATCH(B145,'公司'!$A$8:$A$207,0))))</f>
        <v/>
      </c>
      <c r="D145" s="32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32" t="n"/>
      <c r="Q145" s="10" t="n"/>
      <c r="R145" s="10" t="n"/>
      <c r="S145" s="10" t="n"/>
      <c r="T145" s="16">
        <f>IF(A145="","",IF(OR(COUNTIF($A$8:$A$207,A145)&lt;&gt;1,COUNTIF('公司'!$A$8:$A$207,B145)&lt;&gt;1,AND(D145&lt;&gt;"",COUNTIF('联系人'!$A$8:$A$207,D145)&lt;&gt;1)),"检查编号或关联","正常"))</f>
        <v/>
      </c>
    </row>
    <row r="146" ht="34" customHeight="1">
      <c r="A146" s="32" t="n"/>
      <c r="B146" s="32" t="n"/>
      <c r="C146" s="16">
        <f>IF(B146="","",IF(COUNTIF('公司'!$A$8:$A$207,B146)&lt;&gt;1,"编号缺失或重复",INDEX('公司'!$B$8:$B$207,MATCH(B146,'公司'!$A$8:$A$207,0))))</f>
        <v/>
      </c>
      <c r="D146" s="32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32" t="n"/>
      <c r="Q146" s="10" t="n"/>
      <c r="R146" s="10" t="n"/>
      <c r="S146" s="10" t="n"/>
      <c r="T146" s="16">
        <f>IF(A146="","",IF(OR(COUNTIF($A$8:$A$207,A146)&lt;&gt;1,COUNTIF('公司'!$A$8:$A$207,B146)&lt;&gt;1,AND(D146&lt;&gt;"",COUNTIF('联系人'!$A$8:$A$207,D146)&lt;&gt;1)),"检查编号或关联","正常"))</f>
        <v/>
      </c>
    </row>
    <row r="147" ht="34" customHeight="1">
      <c r="A147" s="32" t="n"/>
      <c r="B147" s="32" t="n"/>
      <c r="C147" s="16">
        <f>IF(B147="","",IF(COUNTIF('公司'!$A$8:$A$207,B147)&lt;&gt;1,"编号缺失或重复",INDEX('公司'!$B$8:$B$207,MATCH(B147,'公司'!$A$8:$A$207,0))))</f>
        <v/>
      </c>
      <c r="D147" s="32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32" t="n"/>
      <c r="Q147" s="10" t="n"/>
      <c r="R147" s="10" t="n"/>
      <c r="S147" s="10" t="n"/>
      <c r="T147" s="16">
        <f>IF(A147="","",IF(OR(COUNTIF($A$8:$A$207,A147)&lt;&gt;1,COUNTIF('公司'!$A$8:$A$207,B147)&lt;&gt;1,AND(D147&lt;&gt;"",COUNTIF('联系人'!$A$8:$A$207,D147)&lt;&gt;1)),"检查编号或关联","正常"))</f>
        <v/>
      </c>
    </row>
    <row r="148" ht="34" customHeight="1">
      <c r="A148" s="32" t="n"/>
      <c r="B148" s="32" t="n"/>
      <c r="C148" s="16">
        <f>IF(B148="","",IF(COUNTIF('公司'!$A$8:$A$207,B148)&lt;&gt;1,"编号缺失或重复",INDEX('公司'!$B$8:$B$207,MATCH(B148,'公司'!$A$8:$A$207,0))))</f>
        <v/>
      </c>
      <c r="D148" s="32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32" t="n"/>
      <c r="Q148" s="10" t="n"/>
      <c r="R148" s="10" t="n"/>
      <c r="S148" s="10" t="n"/>
      <c r="T148" s="16">
        <f>IF(A148="","",IF(OR(COUNTIF($A$8:$A$207,A148)&lt;&gt;1,COUNTIF('公司'!$A$8:$A$207,B148)&lt;&gt;1,AND(D148&lt;&gt;"",COUNTIF('联系人'!$A$8:$A$207,D148)&lt;&gt;1)),"检查编号或关联","正常"))</f>
        <v/>
      </c>
    </row>
    <row r="149" ht="34" customHeight="1">
      <c r="A149" s="32" t="n"/>
      <c r="B149" s="32" t="n"/>
      <c r="C149" s="16">
        <f>IF(B149="","",IF(COUNTIF('公司'!$A$8:$A$207,B149)&lt;&gt;1,"编号缺失或重复",INDEX('公司'!$B$8:$B$207,MATCH(B149,'公司'!$A$8:$A$207,0))))</f>
        <v/>
      </c>
      <c r="D149" s="32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32" t="n"/>
      <c r="Q149" s="10" t="n"/>
      <c r="R149" s="10" t="n"/>
      <c r="S149" s="10" t="n"/>
      <c r="T149" s="16">
        <f>IF(A149="","",IF(OR(COUNTIF($A$8:$A$207,A149)&lt;&gt;1,COUNTIF('公司'!$A$8:$A$207,B149)&lt;&gt;1,AND(D149&lt;&gt;"",COUNTIF('联系人'!$A$8:$A$207,D149)&lt;&gt;1)),"检查编号或关联","正常"))</f>
        <v/>
      </c>
    </row>
    <row r="150" ht="34" customHeight="1">
      <c r="A150" s="32" t="n"/>
      <c r="B150" s="32" t="n"/>
      <c r="C150" s="16">
        <f>IF(B150="","",IF(COUNTIF('公司'!$A$8:$A$207,B150)&lt;&gt;1,"编号缺失或重复",INDEX('公司'!$B$8:$B$207,MATCH(B150,'公司'!$A$8:$A$207,0))))</f>
        <v/>
      </c>
      <c r="D150" s="32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32" t="n"/>
      <c r="Q150" s="10" t="n"/>
      <c r="R150" s="10" t="n"/>
      <c r="S150" s="10" t="n"/>
      <c r="T150" s="16">
        <f>IF(A150="","",IF(OR(COUNTIF($A$8:$A$207,A150)&lt;&gt;1,COUNTIF('公司'!$A$8:$A$207,B150)&lt;&gt;1,AND(D150&lt;&gt;"",COUNTIF('联系人'!$A$8:$A$207,D150)&lt;&gt;1)),"检查编号或关联","正常"))</f>
        <v/>
      </c>
    </row>
    <row r="151" ht="34" customHeight="1">
      <c r="A151" s="32" t="n"/>
      <c r="B151" s="32" t="n"/>
      <c r="C151" s="16">
        <f>IF(B151="","",IF(COUNTIF('公司'!$A$8:$A$207,B151)&lt;&gt;1,"编号缺失或重复",INDEX('公司'!$B$8:$B$207,MATCH(B151,'公司'!$A$8:$A$207,0))))</f>
        <v/>
      </c>
      <c r="D151" s="32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32" t="n"/>
      <c r="Q151" s="10" t="n"/>
      <c r="R151" s="10" t="n"/>
      <c r="S151" s="10" t="n"/>
      <c r="T151" s="16">
        <f>IF(A151="","",IF(OR(COUNTIF($A$8:$A$207,A151)&lt;&gt;1,COUNTIF('公司'!$A$8:$A$207,B151)&lt;&gt;1,AND(D151&lt;&gt;"",COUNTIF('联系人'!$A$8:$A$207,D151)&lt;&gt;1)),"检查编号或关联","正常"))</f>
        <v/>
      </c>
    </row>
    <row r="152" ht="34" customHeight="1">
      <c r="A152" s="32" t="n"/>
      <c r="B152" s="32" t="n"/>
      <c r="C152" s="16">
        <f>IF(B152="","",IF(COUNTIF('公司'!$A$8:$A$207,B152)&lt;&gt;1,"编号缺失或重复",INDEX('公司'!$B$8:$B$207,MATCH(B152,'公司'!$A$8:$A$207,0))))</f>
        <v/>
      </c>
      <c r="D152" s="32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32" t="n"/>
      <c r="Q152" s="10" t="n"/>
      <c r="R152" s="10" t="n"/>
      <c r="S152" s="10" t="n"/>
      <c r="T152" s="16">
        <f>IF(A152="","",IF(OR(COUNTIF($A$8:$A$207,A152)&lt;&gt;1,COUNTIF('公司'!$A$8:$A$207,B152)&lt;&gt;1,AND(D152&lt;&gt;"",COUNTIF('联系人'!$A$8:$A$207,D152)&lt;&gt;1)),"检查编号或关联","正常"))</f>
        <v/>
      </c>
    </row>
    <row r="153" ht="34" customHeight="1">
      <c r="A153" s="32" t="n"/>
      <c r="B153" s="32" t="n"/>
      <c r="C153" s="16">
        <f>IF(B153="","",IF(COUNTIF('公司'!$A$8:$A$207,B153)&lt;&gt;1,"编号缺失或重复",INDEX('公司'!$B$8:$B$207,MATCH(B153,'公司'!$A$8:$A$207,0))))</f>
        <v/>
      </c>
      <c r="D153" s="32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32" t="n"/>
      <c r="Q153" s="10" t="n"/>
      <c r="R153" s="10" t="n"/>
      <c r="S153" s="10" t="n"/>
      <c r="T153" s="16">
        <f>IF(A153="","",IF(OR(COUNTIF($A$8:$A$207,A153)&lt;&gt;1,COUNTIF('公司'!$A$8:$A$207,B153)&lt;&gt;1,AND(D153&lt;&gt;"",COUNTIF('联系人'!$A$8:$A$207,D153)&lt;&gt;1)),"检查编号或关联","正常"))</f>
        <v/>
      </c>
    </row>
    <row r="154" ht="34" customHeight="1">
      <c r="A154" s="32" t="n"/>
      <c r="B154" s="32" t="n"/>
      <c r="C154" s="16">
        <f>IF(B154="","",IF(COUNTIF('公司'!$A$8:$A$207,B154)&lt;&gt;1,"编号缺失或重复",INDEX('公司'!$B$8:$B$207,MATCH(B154,'公司'!$A$8:$A$207,0))))</f>
        <v/>
      </c>
      <c r="D154" s="32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32" t="n"/>
      <c r="Q154" s="10" t="n"/>
      <c r="R154" s="10" t="n"/>
      <c r="S154" s="10" t="n"/>
      <c r="T154" s="16">
        <f>IF(A154="","",IF(OR(COUNTIF($A$8:$A$207,A154)&lt;&gt;1,COUNTIF('公司'!$A$8:$A$207,B154)&lt;&gt;1,AND(D154&lt;&gt;"",COUNTIF('联系人'!$A$8:$A$207,D154)&lt;&gt;1)),"检查编号或关联","正常"))</f>
        <v/>
      </c>
    </row>
    <row r="155" ht="34" customHeight="1">
      <c r="A155" s="32" t="n"/>
      <c r="B155" s="32" t="n"/>
      <c r="C155" s="16">
        <f>IF(B155="","",IF(COUNTIF('公司'!$A$8:$A$207,B155)&lt;&gt;1,"编号缺失或重复",INDEX('公司'!$B$8:$B$207,MATCH(B155,'公司'!$A$8:$A$207,0))))</f>
        <v/>
      </c>
      <c r="D155" s="32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32" t="n"/>
      <c r="Q155" s="10" t="n"/>
      <c r="R155" s="10" t="n"/>
      <c r="S155" s="10" t="n"/>
      <c r="T155" s="16">
        <f>IF(A155="","",IF(OR(COUNTIF($A$8:$A$207,A155)&lt;&gt;1,COUNTIF('公司'!$A$8:$A$207,B155)&lt;&gt;1,AND(D155&lt;&gt;"",COUNTIF('联系人'!$A$8:$A$207,D155)&lt;&gt;1)),"检查编号或关联","正常"))</f>
        <v/>
      </c>
    </row>
    <row r="156" ht="34" customHeight="1">
      <c r="A156" s="32" t="n"/>
      <c r="B156" s="32" t="n"/>
      <c r="C156" s="16">
        <f>IF(B156="","",IF(COUNTIF('公司'!$A$8:$A$207,B156)&lt;&gt;1,"编号缺失或重复",INDEX('公司'!$B$8:$B$207,MATCH(B156,'公司'!$A$8:$A$207,0))))</f>
        <v/>
      </c>
      <c r="D156" s="32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32" t="n"/>
      <c r="Q156" s="10" t="n"/>
      <c r="R156" s="10" t="n"/>
      <c r="S156" s="10" t="n"/>
      <c r="T156" s="16">
        <f>IF(A156="","",IF(OR(COUNTIF($A$8:$A$207,A156)&lt;&gt;1,COUNTIF('公司'!$A$8:$A$207,B156)&lt;&gt;1,AND(D156&lt;&gt;"",COUNTIF('联系人'!$A$8:$A$207,D156)&lt;&gt;1)),"检查编号或关联","正常"))</f>
        <v/>
      </c>
    </row>
    <row r="157" ht="34" customHeight="1">
      <c r="A157" s="32" t="n"/>
      <c r="B157" s="32" t="n"/>
      <c r="C157" s="16">
        <f>IF(B157="","",IF(COUNTIF('公司'!$A$8:$A$207,B157)&lt;&gt;1,"编号缺失或重复",INDEX('公司'!$B$8:$B$207,MATCH(B157,'公司'!$A$8:$A$207,0))))</f>
        <v/>
      </c>
      <c r="D157" s="32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32" t="n"/>
      <c r="Q157" s="10" t="n"/>
      <c r="R157" s="10" t="n"/>
      <c r="S157" s="10" t="n"/>
      <c r="T157" s="16">
        <f>IF(A157="","",IF(OR(COUNTIF($A$8:$A$207,A157)&lt;&gt;1,COUNTIF('公司'!$A$8:$A$207,B157)&lt;&gt;1,AND(D157&lt;&gt;"",COUNTIF('联系人'!$A$8:$A$207,D157)&lt;&gt;1)),"检查编号或关联","正常"))</f>
        <v/>
      </c>
    </row>
    <row r="158" ht="34" customHeight="1">
      <c r="A158" s="32" t="n"/>
      <c r="B158" s="32" t="n"/>
      <c r="C158" s="16">
        <f>IF(B158="","",IF(COUNTIF('公司'!$A$8:$A$207,B158)&lt;&gt;1,"编号缺失或重复",INDEX('公司'!$B$8:$B$207,MATCH(B158,'公司'!$A$8:$A$207,0))))</f>
        <v/>
      </c>
      <c r="D158" s="32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32" t="n"/>
      <c r="Q158" s="10" t="n"/>
      <c r="R158" s="10" t="n"/>
      <c r="S158" s="10" t="n"/>
      <c r="T158" s="16">
        <f>IF(A158="","",IF(OR(COUNTIF($A$8:$A$207,A158)&lt;&gt;1,COUNTIF('公司'!$A$8:$A$207,B158)&lt;&gt;1,AND(D158&lt;&gt;"",COUNTIF('联系人'!$A$8:$A$207,D158)&lt;&gt;1)),"检查编号或关联","正常"))</f>
        <v/>
      </c>
    </row>
    <row r="159" ht="34" customHeight="1">
      <c r="A159" s="32" t="n"/>
      <c r="B159" s="32" t="n"/>
      <c r="C159" s="16">
        <f>IF(B159="","",IF(COUNTIF('公司'!$A$8:$A$207,B159)&lt;&gt;1,"编号缺失或重复",INDEX('公司'!$B$8:$B$207,MATCH(B159,'公司'!$A$8:$A$207,0))))</f>
        <v/>
      </c>
      <c r="D159" s="32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32" t="n"/>
      <c r="Q159" s="10" t="n"/>
      <c r="R159" s="10" t="n"/>
      <c r="S159" s="10" t="n"/>
      <c r="T159" s="16">
        <f>IF(A159="","",IF(OR(COUNTIF($A$8:$A$207,A159)&lt;&gt;1,COUNTIF('公司'!$A$8:$A$207,B159)&lt;&gt;1,AND(D159&lt;&gt;"",COUNTIF('联系人'!$A$8:$A$207,D159)&lt;&gt;1)),"检查编号或关联","正常"))</f>
        <v/>
      </c>
    </row>
    <row r="160" ht="34" customHeight="1">
      <c r="A160" s="32" t="n"/>
      <c r="B160" s="32" t="n"/>
      <c r="C160" s="16">
        <f>IF(B160="","",IF(COUNTIF('公司'!$A$8:$A$207,B160)&lt;&gt;1,"编号缺失或重复",INDEX('公司'!$B$8:$B$207,MATCH(B160,'公司'!$A$8:$A$207,0))))</f>
        <v/>
      </c>
      <c r="D160" s="32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32" t="n"/>
      <c r="Q160" s="10" t="n"/>
      <c r="R160" s="10" t="n"/>
      <c r="S160" s="10" t="n"/>
      <c r="T160" s="16">
        <f>IF(A160="","",IF(OR(COUNTIF($A$8:$A$207,A160)&lt;&gt;1,COUNTIF('公司'!$A$8:$A$207,B160)&lt;&gt;1,AND(D160&lt;&gt;"",COUNTIF('联系人'!$A$8:$A$207,D160)&lt;&gt;1)),"检查编号或关联","正常"))</f>
        <v/>
      </c>
    </row>
    <row r="161" ht="34" customHeight="1">
      <c r="A161" s="32" t="n"/>
      <c r="B161" s="32" t="n"/>
      <c r="C161" s="16">
        <f>IF(B161="","",IF(COUNTIF('公司'!$A$8:$A$207,B161)&lt;&gt;1,"编号缺失或重复",INDEX('公司'!$B$8:$B$207,MATCH(B161,'公司'!$A$8:$A$207,0))))</f>
        <v/>
      </c>
      <c r="D161" s="32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32" t="n"/>
      <c r="Q161" s="10" t="n"/>
      <c r="R161" s="10" t="n"/>
      <c r="S161" s="10" t="n"/>
      <c r="T161" s="16">
        <f>IF(A161="","",IF(OR(COUNTIF($A$8:$A$207,A161)&lt;&gt;1,COUNTIF('公司'!$A$8:$A$207,B161)&lt;&gt;1,AND(D161&lt;&gt;"",COUNTIF('联系人'!$A$8:$A$207,D161)&lt;&gt;1)),"检查编号或关联","正常"))</f>
        <v/>
      </c>
    </row>
    <row r="162" ht="34" customHeight="1">
      <c r="A162" s="32" t="n"/>
      <c r="B162" s="32" t="n"/>
      <c r="C162" s="16">
        <f>IF(B162="","",IF(COUNTIF('公司'!$A$8:$A$207,B162)&lt;&gt;1,"编号缺失或重复",INDEX('公司'!$B$8:$B$207,MATCH(B162,'公司'!$A$8:$A$207,0))))</f>
        <v/>
      </c>
      <c r="D162" s="32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32" t="n"/>
      <c r="Q162" s="10" t="n"/>
      <c r="R162" s="10" t="n"/>
      <c r="S162" s="10" t="n"/>
      <c r="T162" s="16">
        <f>IF(A162="","",IF(OR(COUNTIF($A$8:$A$207,A162)&lt;&gt;1,COUNTIF('公司'!$A$8:$A$207,B162)&lt;&gt;1,AND(D162&lt;&gt;"",COUNTIF('联系人'!$A$8:$A$207,D162)&lt;&gt;1)),"检查编号或关联","正常"))</f>
        <v/>
      </c>
    </row>
    <row r="163" ht="34" customHeight="1">
      <c r="A163" s="32" t="n"/>
      <c r="B163" s="32" t="n"/>
      <c r="C163" s="16">
        <f>IF(B163="","",IF(COUNTIF('公司'!$A$8:$A$207,B163)&lt;&gt;1,"编号缺失或重复",INDEX('公司'!$B$8:$B$207,MATCH(B163,'公司'!$A$8:$A$207,0))))</f>
        <v/>
      </c>
      <c r="D163" s="32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32" t="n"/>
      <c r="Q163" s="10" t="n"/>
      <c r="R163" s="10" t="n"/>
      <c r="S163" s="10" t="n"/>
      <c r="T163" s="16">
        <f>IF(A163="","",IF(OR(COUNTIF($A$8:$A$207,A163)&lt;&gt;1,COUNTIF('公司'!$A$8:$A$207,B163)&lt;&gt;1,AND(D163&lt;&gt;"",COUNTIF('联系人'!$A$8:$A$207,D163)&lt;&gt;1)),"检查编号或关联","正常"))</f>
        <v/>
      </c>
    </row>
    <row r="164" ht="34" customHeight="1">
      <c r="A164" s="32" t="n"/>
      <c r="B164" s="32" t="n"/>
      <c r="C164" s="16">
        <f>IF(B164="","",IF(COUNTIF('公司'!$A$8:$A$207,B164)&lt;&gt;1,"编号缺失或重复",INDEX('公司'!$B$8:$B$207,MATCH(B164,'公司'!$A$8:$A$207,0))))</f>
        <v/>
      </c>
      <c r="D164" s="32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32" t="n"/>
      <c r="Q164" s="10" t="n"/>
      <c r="R164" s="10" t="n"/>
      <c r="S164" s="10" t="n"/>
      <c r="T164" s="16">
        <f>IF(A164="","",IF(OR(COUNTIF($A$8:$A$207,A164)&lt;&gt;1,COUNTIF('公司'!$A$8:$A$207,B164)&lt;&gt;1,AND(D164&lt;&gt;"",COUNTIF('联系人'!$A$8:$A$207,D164)&lt;&gt;1)),"检查编号或关联","正常"))</f>
        <v/>
      </c>
    </row>
    <row r="165" ht="34" customHeight="1">
      <c r="A165" s="32" t="n"/>
      <c r="B165" s="32" t="n"/>
      <c r="C165" s="16">
        <f>IF(B165="","",IF(COUNTIF('公司'!$A$8:$A$207,B165)&lt;&gt;1,"编号缺失或重复",INDEX('公司'!$B$8:$B$207,MATCH(B165,'公司'!$A$8:$A$207,0))))</f>
        <v/>
      </c>
      <c r="D165" s="32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32" t="n"/>
      <c r="Q165" s="10" t="n"/>
      <c r="R165" s="10" t="n"/>
      <c r="S165" s="10" t="n"/>
      <c r="T165" s="16">
        <f>IF(A165="","",IF(OR(COUNTIF($A$8:$A$207,A165)&lt;&gt;1,COUNTIF('公司'!$A$8:$A$207,B165)&lt;&gt;1,AND(D165&lt;&gt;"",COUNTIF('联系人'!$A$8:$A$207,D165)&lt;&gt;1)),"检查编号或关联","正常"))</f>
        <v/>
      </c>
    </row>
    <row r="166" ht="34" customHeight="1">
      <c r="A166" s="32" t="n"/>
      <c r="B166" s="32" t="n"/>
      <c r="C166" s="16">
        <f>IF(B166="","",IF(COUNTIF('公司'!$A$8:$A$207,B166)&lt;&gt;1,"编号缺失或重复",INDEX('公司'!$B$8:$B$207,MATCH(B166,'公司'!$A$8:$A$207,0))))</f>
        <v/>
      </c>
      <c r="D166" s="32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32" t="n"/>
      <c r="Q166" s="10" t="n"/>
      <c r="R166" s="10" t="n"/>
      <c r="S166" s="10" t="n"/>
      <c r="T166" s="16">
        <f>IF(A166="","",IF(OR(COUNTIF($A$8:$A$207,A166)&lt;&gt;1,COUNTIF('公司'!$A$8:$A$207,B166)&lt;&gt;1,AND(D166&lt;&gt;"",COUNTIF('联系人'!$A$8:$A$207,D166)&lt;&gt;1)),"检查编号或关联","正常"))</f>
        <v/>
      </c>
    </row>
    <row r="167" ht="34" customHeight="1">
      <c r="A167" s="32" t="n"/>
      <c r="B167" s="32" t="n"/>
      <c r="C167" s="16">
        <f>IF(B167="","",IF(COUNTIF('公司'!$A$8:$A$207,B167)&lt;&gt;1,"编号缺失或重复",INDEX('公司'!$B$8:$B$207,MATCH(B167,'公司'!$A$8:$A$207,0))))</f>
        <v/>
      </c>
      <c r="D167" s="32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32" t="n"/>
      <c r="Q167" s="10" t="n"/>
      <c r="R167" s="10" t="n"/>
      <c r="S167" s="10" t="n"/>
      <c r="T167" s="16">
        <f>IF(A167="","",IF(OR(COUNTIF($A$8:$A$207,A167)&lt;&gt;1,COUNTIF('公司'!$A$8:$A$207,B167)&lt;&gt;1,AND(D167&lt;&gt;"",COUNTIF('联系人'!$A$8:$A$207,D167)&lt;&gt;1)),"检查编号或关联","正常"))</f>
        <v/>
      </c>
    </row>
    <row r="168" ht="34" customHeight="1">
      <c r="A168" s="32" t="n"/>
      <c r="B168" s="32" t="n"/>
      <c r="C168" s="16">
        <f>IF(B168="","",IF(COUNTIF('公司'!$A$8:$A$207,B168)&lt;&gt;1,"编号缺失或重复",INDEX('公司'!$B$8:$B$207,MATCH(B168,'公司'!$A$8:$A$207,0))))</f>
        <v/>
      </c>
      <c r="D168" s="32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32" t="n"/>
      <c r="Q168" s="10" t="n"/>
      <c r="R168" s="10" t="n"/>
      <c r="S168" s="10" t="n"/>
      <c r="T168" s="16">
        <f>IF(A168="","",IF(OR(COUNTIF($A$8:$A$207,A168)&lt;&gt;1,COUNTIF('公司'!$A$8:$A$207,B168)&lt;&gt;1,AND(D168&lt;&gt;"",COUNTIF('联系人'!$A$8:$A$207,D168)&lt;&gt;1)),"检查编号或关联","正常"))</f>
        <v/>
      </c>
    </row>
    <row r="169" ht="34" customHeight="1">
      <c r="A169" s="32" t="n"/>
      <c r="B169" s="32" t="n"/>
      <c r="C169" s="16">
        <f>IF(B169="","",IF(COUNTIF('公司'!$A$8:$A$207,B169)&lt;&gt;1,"编号缺失或重复",INDEX('公司'!$B$8:$B$207,MATCH(B169,'公司'!$A$8:$A$207,0))))</f>
        <v/>
      </c>
      <c r="D169" s="32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32" t="n"/>
      <c r="Q169" s="10" t="n"/>
      <c r="R169" s="10" t="n"/>
      <c r="S169" s="10" t="n"/>
      <c r="T169" s="16">
        <f>IF(A169="","",IF(OR(COUNTIF($A$8:$A$207,A169)&lt;&gt;1,COUNTIF('公司'!$A$8:$A$207,B169)&lt;&gt;1,AND(D169&lt;&gt;"",COUNTIF('联系人'!$A$8:$A$207,D169)&lt;&gt;1)),"检查编号或关联","正常"))</f>
        <v/>
      </c>
    </row>
    <row r="170" ht="34" customHeight="1">
      <c r="A170" s="32" t="n"/>
      <c r="B170" s="32" t="n"/>
      <c r="C170" s="16">
        <f>IF(B170="","",IF(COUNTIF('公司'!$A$8:$A$207,B170)&lt;&gt;1,"编号缺失或重复",INDEX('公司'!$B$8:$B$207,MATCH(B170,'公司'!$A$8:$A$207,0))))</f>
        <v/>
      </c>
      <c r="D170" s="32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32" t="n"/>
      <c r="Q170" s="10" t="n"/>
      <c r="R170" s="10" t="n"/>
      <c r="S170" s="10" t="n"/>
      <c r="T170" s="16">
        <f>IF(A170="","",IF(OR(COUNTIF($A$8:$A$207,A170)&lt;&gt;1,COUNTIF('公司'!$A$8:$A$207,B170)&lt;&gt;1,AND(D170&lt;&gt;"",COUNTIF('联系人'!$A$8:$A$207,D170)&lt;&gt;1)),"检查编号或关联","正常"))</f>
        <v/>
      </c>
    </row>
    <row r="171" ht="34" customHeight="1">
      <c r="A171" s="32" t="n"/>
      <c r="B171" s="32" t="n"/>
      <c r="C171" s="16">
        <f>IF(B171="","",IF(COUNTIF('公司'!$A$8:$A$207,B171)&lt;&gt;1,"编号缺失或重复",INDEX('公司'!$B$8:$B$207,MATCH(B171,'公司'!$A$8:$A$207,0))))</f>
        <v/>
      </c>
      <c r="D171" s="32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32" t="n"/>
      <c r="Q171" s="10" t="n"/>
      <c r="R171" s="10" t="n"/>
      <c r="S171" s="10" t="n"/>
      <c r="T171" s="16">
        <f>IF(A171="","",IF(OR(COUNTIF($A$8:$A$207,A171)&lt;&gt;1,COUNTIF('公司'!$A$8:$A$207,B171)&lt;&gt;1,AND(D171&lt;&gt;"",COUNTIF('联系人'!$A$8:$A$207,D171)&lt;&gt;1)),"检查编号或关联","正常"))</f>
        <v/>
      </c>
    </row>
    <row r="172" ht="34" customHeight="1">
      <c r="A172" s="32" t="n"/>
      <c r="B172" s="32" t="n"/>
      <c r="C172" s="16">
        <f>IF(B172="","",IF(COUNTIF('公司'!$A$8:$A$207,B172)&lt;&gt;1,"编号缺失或重复",INDEX('公司'!$B$8:$B$207,MATCH(B172,'公司'!$A$8:$A$207,0))))</f>
        <v/>
      </c>
      <c r="D172" s="32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32" t="n"/>
      <c r="Q172" s="10" t="n"/>
      <c r="R172" s="10" t="n"/>
      <c r="S172" s="10" t="n"/>
      <c r="T172" s="16">
        <f>IF(A172="","",IF(OR(COUNTIF($A$8:$A$207,A172)&lt;&gt;1,COUNTIF('公司'!$A$8:$A$207,B172)&lt;&gt;1,AND(D172&lt;&gt;"",COUNTIF('联系人'!$A$8:$A$207,D172)&lt;&gt;1)),"检查编号或关联","正常"))</f>
        <v/>
      </c>
    </row>
    <row r="173" ht="34" customHeight="1">
      <c r="A173" s="32" t="n"/>
      <c r="B173" s="32" t="n"/>
      <c r="C173" s="16">
        <f>IF(B173="","",IF(COUNTIF('公司'!$A$8:$A$207,B173)&lt;&gt;1,"编号缺失或重复",INDEX('公司'!$B$8:$B$207,MATCH(B173,'公司'!$A$8:$A$207,0))))</f>
        <v/>
      </c>
      <c r="D173" s="32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32" t="n"/>
      <c r="Q173" s="10" t="n"/>
      <c r="R173" s="10" t="n"/>
      <c r="S173" s="10" t="n"/>
      <c r="T173" s="16">
        <f>IF(A173="","",IF(OR(COUNTIF($A$8:$A$207,A173)&lt;&gt;1,COUNTIF('公司'!$A$8:$A$207,B173)&lt;&gt;1,AND(D173&lt;&gt;"",COUNTIF('联系人'!$A$8:$A$207,D173)&lt;&gt;1)),"检查编号或关联","正常"))</f>
        <v/>
      </c>
    </row>
    <row r="174" ht="34" customHeight="1">
      <c r="A174" s="32" t="n"/>
      <c r="B174" s="32" t="n"/>
      <c r="C174" s="16">
        <f>IF(B174="","",IF(COUNTIF('公司'!$A$8:$A$207,B174)&lt;&gt;1,"编号缺失或重复",INDEX('公司'!$B$8:$B$207,MATCH(B174,'公司'!$A$8:$A$207,0))))</f>
        <v/>
      </c>
      <c r="D174" s="32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32" t="n"/>
      <c r="Q174" s="10" t="n"/>
      <c r="R174" s="10" t="n"/>
      <c r="S174" s="10" t="n"/>
      <c r="T174" s="16">
        <f>IF(A174="","",IF(OR(COUNTIF($A$8:$A$207,A174)&lt;&gt;1,COUNTIF('公司'!$A$8:$A$207,B174)&lt;&gt;1,AND(D174&lt;&gt;"",COUNTIF('联系人'!$A$8:$A$207,D174)&lt;&gt;1)),"检查编号或关联","正常"))</f>
        <v/>
      </c>
    </row>
    <row r="175" ht="34" customHeight="1">
      <c r="A175" s="32" t="n"/>
      <c r="B175" s="32" t="n"/>
      <c r="C175" s="16">
        <f>IF(B175="","",IF(COUNTIF('公司'!$A$8:$A$207,B175)&lt;&gt;1,"编号缺失或重复",INDEX('公司'!$B$8:$B$207,MATCH(B175,'公司'!$A$8:$A$207,0))))</f>
        <v/>
      </c>
      <c r="D175" s="32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32" t="n"/>
      <c r="Q175" s="10" t="n"/>
      <c r="R175" s="10" t="n"/>
      <c r="S175" s="10" t="n"/>
      <c r="T175" s="16">
        <f>IF(A175="","",IF(OR(COUNTIF($A$8:$A$207,A175)&lt;&gt;1,COUNTIF('公司'!$A$8:$A$207,B175)&lt;&gt;1,AND(D175&lt;&gt;"",COUNTIF('联系人'!$A$8:$A$207,D175)&lt;&gt;1)),"检查编号或关联","正常"))</f>
        <v/>
      </c>
    </row>
    <row r="176" ht="34" customHeight="1">
      <c r="A176" s="32" t="n"/>
      <c r="B176" s="32" t="n"/>
      <c r="C176" s="16">
        <f>IF(B176="","",IF(COUNTIF('公司'!$A$8:$A$207,B176)&lt;&gt;1,"编号缺失或重复",INDEX('公司'!$B$8:$B$207,MATCH(B176,'公司'!$A$8:$A$207,0))))</f>
        <v/>
      </c>
      <c r="D176" s="32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32" t="n"/>
      <c r="Q176" s="10" t="n"/>
      <c r="R176" s="10" t="n"/>
      <c r="S176" s="10" t="n"/>
      <c r="T176" s="16">
        <f>IF(A176="","",IF(OR(COUNTIF($A$8:$A$207,A176)&lt;&gt;1,COUNTIF('公司'!$A$8:$A$207,B176)&lt;&gt;1,AND(D176&lt;&gt;"",COUNTIF('联系人'!$A$8:$A$207,D176)&lt;&gt;1)),"检查编号或关联","正常"))</f>
        <v/>
      </c>
    </row>
    <row r="177" ht="34" customHeight="1">
      <c r="A177" s="32" t="n"/>
      <c r="B177" s="32" t="n"/>
      <c r="C177" s="16">
        <f>IF(B177="","",IF(COUNTIF('公司'!$A$8:$A$207,B177)&lt;&gt;1,"编号缺失或重复",INDEX('公司'!$B$8:$B$207,MATCH(B177,'公司'!$A$8:$A$207,0))))</f>
        <v/>
      </c>
      <c r="D177" s="32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32" t="n"/>
      <c r="Q177" s="10" t="n"/>
      <c r="R177" s="10" t="n"/>
      <c r="S177" s="10" t="n"/>
      <c r="T177" s="16">
        <f>IF(A177="","",IF(OR(COUNTIF($A$8:$A$207,A177)&lt;&gt;1,COUNTIF('公司'!$A$8:$A$207,B177)&lt;&gt;1,AND(D177&lt;&gt;"",COUNTIF('联系人'!$A$8:$A$207,D177)&lt;&gt;1)),"检查编号或关联","正常"))</f>
        <v/>
      </c>
    </row>
    <row r="178" ht="34" customHeight="1">
      <c r="A178" s="32" t="n"/>
      <c r="B178" s="32" t="n"/>
      <c r="C178" s="16">
        <f>IF(B178="","",IF(COUNTIF('公司'!$A$8:$A$207,B178)&lt;&gt;1,"编号缺失或重复",INDEX('公司'!$B$8:$B$207,MATCH(B178,'公司'!$A$8:$A$207,0))))</f>
        <v/>
      </c>
      <c r="D178" s="32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32" t="n"/>
      <c r="Q178" s="10" t="n"/>
      <c r="R178" s="10" t="n"/>
      <c r="S178" s="10" t="n"/>
      <c r="T178" s="16">
        <f>IF(A178="","",IF(OR(COUNTIF($A$8:$A$207,A178)&lt;&gt;1,COUNTIF('公司'!$A$8:$A$207,B178)&lt;&gt;1,AND(D178&lt;&gt;"",COUNTIF('联系人'!$A$8:$A$207,D178)&lt;&gt;1)),"检查编号或关联","正常"))</f>
        <v/>
      </c>
    </row>
    <row r="179" ht="34" customHeight="1">
      <c r="A179" s="32" t="n"/>
      <c r="B179" s="32" t="n"/>
      <c r="C179" s="16">
        <f>IF(B179="","",IF(COUNTIF('公司'!$A$8:$A$207,B179)&lt;&gt;1,"编号缺失或重复",INDEX('公司'!$B$8:$B$207,MATCH(B179,'公司'!$A$8:$A$207,0))))</f>
        <v/>
      </c>
      <c r="D179" s="32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32" t="n"/>
      <c r="Q179" s="10" t="n"/>
      <c r="R179" s="10" t="n"/>
      <c r="S179" s="10" t="n"/>
      <c r="T179" s="16">
        <f>IF(A179="","",IF(OR(COUNTIF($A$8:$A$207,A179)&lt;&gt;1,COUNTIF('公司'!$A$8:$A$207,B179)&lt;&gt;1,AND(D179&lt;&gt;"",COUNTIF('联系人'!$A$8:$A$207,D179)&lt;&gt;1)),"检查编号或关联","正常"))</f>
        <v/>
      </c>
    </row>
    <row r="180" ht="34" customHeight="1">
      <c r="A180" s="32" t="n"/>
      <c r="B180" s="32" t="n"/>
      <c r="C180" s="16">
        <f>IF(B180="","",IF(COUNTIF('公司'!$A$8:$A$207,B180)&lt;&gt;1,"编号缺失或重复",INDEX('公司'!$B$8:$B$207,MATCH(B180,'公司'!$A$8:$A$207,0))))</f>
        <v/>
      </c>
      <c r="D180" s="32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32" t="n"/>
      <c r="Q180" s="10" t="n"/>
      <c r="R180" s="10" t="n"/>
      <c r="S180" s="10" t="n"/>
      <c r="T180" s="16">
        <f>IF(A180="","",IF(OR(COUNTIF($A$8:$A$207,A180)&lt;&gt;1,COUNTIF('公司'!$A$8:$A$207,B180)&lt;&gt;1,AND(D180&lt;&gt;"",COUNTIF('联系人'!$A$8:$A$207,D180)&lt;&gt;1)),"检查编号或关联","正常"))</f>
        <v/>
      </c>
    </row>
    <row r="181" ht="34" customHeight="1">
      <c r="A181" s="32" t="n"/>
      <c r="B181" s="32" t="n"/>
      <c r="C181" s="16">
        <f>IF(B181="","",IF(COUNTIF('公司'!$A$8:$A$207,B181)&lt;&gt;1,"编号缺失或重复",INDEX('公司'!$B$8:$B$207,MATCH(B181,'公司'!$A$8:$A$207,0))))</f>
        <v/>
      </c>
      <c r="D181" s="32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32" t="n"/>
      <c r="Q181" s="10" t="n"/>
      <c r="R181" s="10" t="n"/>
      <c r="S181" s="10" t="n"/>
      <c r="T181" s="16">
        <f>IF(A181="","",IF(OR(COUNTIF($A$8:$A$207,A181)&lt;&gt;1,COUNTIF('公司'!$A$8:$A$207,B181)&lt;&gt;1,AND(D181&lt;&gt;"",COUNTIF('联系人'!$A$8:$A$207,D181)&lt;&gt;1)),"检查编号或关联","正常"))</f>
        <v/>
      </c>
    </row>
    <row r="182" ht="34" customHeight="1">
      <c r="A182" s="32" t="n"/>
      <c r="B182" s="32" t="n"/>
      <c r="C182" s="16">
        <f>IF(B182="","",IF(COUNTIF('公司'!$A$8:$A$207,B182)&lt;&gt;1,"编号缺失或重复",INDEX('公司'!$B$8:$B$207,MATCH(B182,'公司'!$A$8:$A$207,0))))</f>
        <v/>
      </c>
      <c r="D182" s="32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32" t="n"/>
      <c r="Q182" s="10" t="n"/>
      <c r="R182" s="10" t="n"/>
      <c r="S182" s="10" t="n"/>
      <c r="T182" s="16">
        <f>IF(A182="","",IF(OR(COUNTIF($A$8:$A$207,A182)&lt;&gt;1,COUNTIF('公司'!$A$8:$A$207,B182)&lt;&gt;1,AND(D182&lt;&gt;"",COUNTIF('联系人'!$A$8:$A$207,D182)&lt;&gt;1)),"检查编号或关联","正常"))</f>
        <v/>
      </c>
    </row>
    <row r="183" ht="34" customHeight="1">
      <c r="A183" s="32" t="n"/>
      <c r="B183" s="32" t="n"/>
      <c r="C183" s="16">
        <f>IF(B183="","",IF(COUNTIF('公司'!$A$8:$A$207,B183)&lt;&gt;1,"编号缺失或重复",INDEX('公司'!$B$8:$B$207,MATCH(B183,'公司'!$A$8:$A$207,0))))</f>
        <v/>
      </c>
      <c r="D183" s="32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32" t="n"/>
      <c r="Q183" s="10" t="n"/>
      <c r="R183" s="10" t="n"/>
      <c r="S183" s="10" t="n"/>
      <c r="T183" s="16">
        <f>IF(A183="","",IF(OR(COUNTIF($A$8:$A$207,A183)&lt;&gt;1,COUNTIF('公司'!$A$8:$A$207,B183)&lt;&gt;1,AND(D183&lt;&gt;"",COUNTIF('联系人'!$A$8:$A$207,D183)&lt;&gt;1)),"检查编号或关联","正常"))</f>
        <v/>
      </c>
    </row>
    <row r="184" ht="34" customHeight="1">
      <c r="A184" s="32" t="n"/>
      <c r="B184" s="32" t="n"/>
      <c r="C184" s="16">
        <f>IF(B184="","",IF(COUNTIF('公司'!$A$8:$A$207,B184)&lt;&gt;1,"编号缺失或重复",INDEX('公司'!$B$8:$B$207,MATCH(B184,'公司'!$A$8:$A$207,0))))</f>
        <v/>
      </c>
      <c r="D184" s="32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32" t="n"/>
      <c r="Q184" s="10" t="n"/>
      <c r="R184" s="10" t="n"/>
      <c r="S184" s="10" t="n"/>
      <c r="T184" s="16">
        <f>IF(A184="","",IF(OR(COUNTIF($A$8:$A$207,A184)&lt;&gt;1,COUNTIF('公司'!$A$8:$A$207,B184)&lt;&gt;1,AND(D184&lt;&gt;"",COUNTIF('联系人'!$A$8:$A$207,D184)&lt;&gt;1)),"检查编号或关联","正常"))</f>
        <v/>
      </c>
    </row>
    <row r="185" ht="34" customHeight="1">
      <c r="A185" s="32" t="n"/>
      <c r="B185" s="32" t="n"/>
      <c r="C185" s="16">
        <f>IF(B185="","",IF(COUNTIF('公司'!$A$8:$A$207,B185)&lt;&gt;1,"编号缺失或重复",INDEX('公司'!$B$8:$B$207,MATCH(B185,'公司'!$A$8:$A$207,0))))</f>
        <v/>
      </c>
      <c r="D185" s="32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32" t="n"/>
      <c r="Q185" s="10" t="n"/>
      <c r="R185" s="10" t="n"/>
      <c r="S185" s="10" t="n"/>
      <c r="T185" s="16">
        <f>IF(A185="","",IF(OR(COUNTIF($A$8:$A$207,A185)&lt;&gt;1,COUNTIF('公司'!$A$8:$A$207,B185)&lt;&gt;1,AND(D185&lt;&gt;"",COUNTIF('联系人'!$A$8:$A$207,D185)&lt;&gt;1)),"检查编号或关联","正常"))</f>
        <v/>
      </c>
    </row>
    <row r="186" ht="34" customHeight="1">
      <c r="A186" s="32" t="n"/>
      <c r="B186" s="32" t="n"/>
      <c r="C186" s="16">
        <f>IF(B186="","",IF(COUNTIF('公司'!$A$8:$A$207,B186)&lt;&gt;1,"编号缺失或重复",INDEX('公司'!$B$8:$B$207,MATCH(B186,'公司'!$A$8:$A$207,0))))</f>
        <v/>
      </c>
      <c r="D186" s="32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32" t="n"/>
      <c r="Q186" s="10" t="n"/>
      <c r="R186" s="10" t="n"/>
      <c r="S186" s="10" t="n"/>
      <c r="T186" s="16">
        <f>IF(A186="","",IF(OR(COUNTIF($A$8:$A$207,A186)&lt;&gt;1,COUNTIF('公司'!$A$8:$A$207,B186)&lt;&gt;1,AND(D186&lt;&gt;"",COUNTIF('联系人'!$A$8:$A$207,D186)&lt;&gt;1)),"检查编号或关联","正常"))</f>
        <v/>
      </c>
    </row>
    <row r="187" ht="34" customHeight="1">
      <c r="A187" s="32" t="n"/>
      <c r="B187" s="32" t="n"/>
      <c r="C187" s="16">
        <f>IF(B187="","",IF(COUNTIF('公司'!$A$8:$A$207,B187)&lt;&gt;1,"编号缺失或重复",INDEX('公司'!$B$8:$B$207,MATCH(B187,'公司'!$A$8:$A$207,0))))</f>
        <v/>
      </c>
      <c r="D187" s="32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32" t="n"/>
      <c r="Q187" s="10" t="n"/>
      <c r="R187" s="10" t="n"/>
      <c r="S187" s="10" t="n"/>
      <c r="T187" s="16">
        <f>IF(A187="","",IF(OR(COUNTIF($A$8:$A$207,A187)&lt;&gt;1,COUNTIF('公司'!$A$8:$A$207,B187)&lt;&gt;1,AND(D187&lt;&gt;"",COUNTIF('联系人'!$A$8:$A$207,D187)&lt;&gt;1)),"检查编号或关联","正常"))</f>
        <v/>
      </c>
    </row>
    <row r="188" ht="34" customHeight="1">
      <c r="A188" s="32" t="n"/>
      <c r="B188" s="32" t="n"/>
      <c r="C188" s="16">
        <f>IF(B188="","",IF(COUNTIF('公司'!$A$8:$A$207,B188)&lt;&gt;1,"编号缺失或重复",INDEX('公司'!$B$8:$B$207,MATCH(B188,'公司'!$A$8:$A$207,0))))</f>
        <v/>
      </c>
      <c r="D188" s="32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32" t="n"/>
      <c r="Q188" s="10" t="n"/>
      <c r="R188" s="10" t="n"/>
      <c r="S188" s="10" t="n"/>
      <c r="T188" s="16">
        <f>IF(A188="","",IF(OR(COUNTIF($A$8:$A$207,A188)&lt;&gt;1,COUNTIF('公司'!$A$8:$A$207,B188)&lt;&gt;1,AND(D188&lt;&gt;"",COUNTIF('联系人'!$A$8:$A$207,D188)&lt;&gt;1)),"检查编号或关联","正常"))</f>
        <v/>
      </c>
    </row>
    <row r="189" ht="34" customHeight="1">
      <c r="A189" s="32" t="n"/>
      <c r="B189" s="32" t="n"/>
      <c r="C189" s="16">
        <f>IF(B189="","",IF(COUNTIF('公司'!$A$8:$A$207,B189)&lt;&gt;1,"编号缺失或重复",INDEX('公司'!$B$8:$B$207,MATCH(B189,'公司'!$A$8:$A$207,0))))</f>
        <v/>
      </c>
      <c r="D189" s="32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32" t="n"/>
      <c r="Q189" s="10" t="n"/>
      <c r="R189" s="10" t="n"/>
      <c r="S189" s="10" t="n"/>
      <c r="T189" s="16">
        <f>IF(A189="","",IF(OR(COUNTIF($A$8:$A$207,A189)&lt;&gt;1,COUNTIF('公司'!$A$8:$A$207,B189)&lt;&gt;1,AND(D189&lt;&gt;"",COUNTIF('联系人'!$A$8:$A$207,D189)&lt;&gt;1)),"检查编号或关联","正常"))</f>
        <v/>
      </c>
    </row>
    <row r="190" ht="34" customHeight="1">
      <c r="A190" s="32" t="n"/>
      <c r="B190" s="32" t="n"/>
      <c r="C190" s="16">
        <f>IF(B190="","",IF(COUNTIF('公司'!$A$8:$A$207,B190)&lt;&gt;1,"编号缺失或重复",INDEX('公司'!$B$8:$B$207,MATCH(B190,'公司'!$A$8:$A$207,0))))</f>
        <v/>
      </c>
      <c r="D190" s="32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32" t="n"/>
      <c r="Q190" s="10" t="n"/>
      <c r="R190" s="10" t="n"/>
      <c r="S190" s="10" t="n"/>
      <c r="T190" s="16">
        <f>IF(A190="","",IF(OR(COUNTIF($A$8:$A$207,A190)&lt;&gt;1,COUNTIF('公司'!$A$8:$A$207,B190)&lt;&gt;1,AND(D190&lt;&gt;"",COUNTIF('联系人'!$A$8:$A$207,D190)&lt;&gt;1)),"检查编号或关联","正常"))</f>
        <v/>
      </c>
    </row>
    <row r="191" ht="34" customHeight="1">
      <c r="A191" s="32" t="n"/>
      <c r="B191" s="32" t="n"/>
      <c r="C191" s="16">
        <f>IF(B191="","",IF(COUNTIF('公司'!$A$8:$A$207,B191)&lt;&gt;1,"编号缺失或重复",INDEX('公司'!$B$8:$B$207,MATCH(B191,'公司'!$A$8:$A$207,0))))</f>
        <v/>
      </c>
      <c r="D191" s="32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32" t="n"/>
      <c r="Q191" s="10" t="n"/>
      <c r="R191" s="10" t="n"/>
      <c r="S191" s="10" t="n"/>
      <c r="T191" s="16">
        <f>IF(A191="","",IF(OR(COUNTIF($A$8:$A$207,A191)&lt;&gt;1,COUNTIF('公司'!$A$8:$A$207,B191)&lt;&gt;1,AND(D191&lt;&gt;"",COUNTIF('联系人'!$A$8:$A$207,D191)&lt;&gt;1)),"检查编号或关联","正常"))</f>
        <v/>
      </c>
    </row>
    <row r="192" ht="34" customHeight="1">
      <c r="A192" s="32" t="n"/>
      <c r="B192" s="32" t="n"/>
      <c r="C192" s="16">
        <f>IF(B192="","",IF(COUNTIF('公司'!$A$8:$A$207,B192)&lt;&gt;1,"编号缺失或重复",INDEX('公司'!$B$8:$B$207,MATCH(B192,'公司'!$A$8:$A$207,0))))</f>
        <v/>
      </c>
      <c r="D192" s="32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32" t="n"/>
      <c r="Q192" s="10" t="n"/>
      <c r="R192" s="10" t="n"/>
      <c r="S192" s="10" t="n"/>
      <c r="T192" s="16">
        <f>IF(A192="","",IF(OR(COUNTIF($A$8:$A$207,A192)&lt;&gt;1,COUNTIF('公司'!$A$8:$A$207,B192)&lt;&gt;1,AND(D192&lt;&gt;"",COUNTIF('联系人'!$A$8:$A$207,D192)&lt;&gt;1)),"检查编号或关联","正常"))</f>
        <v/>
      </c>
    </row>
    <row r="193" ht="34" customHeight="1">
      <c r="A193" s="32" t="n"/>
      <c r="B193" s="32" t="n"/>
      <c r="C193" s="16">
        <f>IF(B193="","",IF(COUNTIF('公司'!$A$8:$A$207,B193)&lt;&gt;1,"编号缺失或重复",INDEX('公司'!$B$8:$B$207,MATCH(B193,'公司'!$A$8:$A$207,0))))</f>
        <v/>
      </c>
      <c r="D193" s="32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32" t="n"/>
      <c r="Q193" s="10" t="n"/>
      <c r="R193" s="10" t="n"/>
      <c r="S193" s="10" t="n"/>
      <c r="T193" s="16">
        <f>IF(A193="","",IF(OR(COUNTIF($A$8:$A$207,A193)&lt;&gt;1,COUNTIF('公司'!$A$8:$A$207,B193)&lt;&gt;1,AND(D193&lt;&gt;"",COUNTIF('联系人'!$A$8:$A$207,D193)&lt;&gt;1)),"检查编号或关联","正常"))</f>
        <v/>
      </c>
    </row>
    <row r="194" ht="34" customHeight="1">
      <c r="A194" s="32" t="n"/>
      <c r="B194" s="32" t="n"/>
      <c r="C194" s="16">
        <f>IF(B194="","",IF(COUNTIF('公司'!$A$8:$A$207,B194)&lt;&gt;1,"编号缺失或重复",INDEX('公司'!$B$8:$B$207,MATCH(B194,'公司'!$A$8:$A$207,0))))</f>
        <v/>
      </c>
      <c r="D194" s="32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32" t="n"/>
      <c r="Q194" s="10" t="n"/>
      <c r="R194" s="10" t="n"/>
      <c r="S194" s="10" t="n"/>
      <c r="T194" s="16">
        <f>IF(A194="","",IF(OR(COUNTIF($A$8:$A$207,A194)&lt;&gt;1,COUNTIF('公司'!$A$8:$A$207,B194)&lt;&gt;1,AND(D194&lt;&gt;"",COUNTIF('联系人'!$A$8:$A$207,D194)&lt;&gt;1)),"检查编号或关联","正常"))</f>
        <v/>
      </c>
    </row>
    <row r="195" ht="34" customHeight="1">
      <c r="A195" s="32" t="n"/>
      <c r="B195" s="32" t="n"/>
      <c r="C195" s="16">
        <f>IF(B195="","",IF(COUNTIF('公司'!$A$8:$A$207,B195)&lt;&gt;1,"编号缺失或重复",INDEX('公司'!$B$8:$B$207,MATCH(B195,'公司'!$A$8:$A$207,0))))</f>
        <v/>
      </c>
      <c r="D195" s="32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32" t="n"/>
      <c r="Q195" s="10" t="n"/>
      <c r="R195" s="10" t="n"/>
      <c r="S195" s="10" t="n"/>
      <c r="T195" s="16">
        <f>IF(A195="","",IF(OR(COUNTIF($A$8:$A$207,A195)&lt;&gt;1,COUNTIF('公司'!$A$8:$A$207,B195)&lt;&gt;1,AND(D195&lt;&gt;"",COUNTIF('联系人'!$A$8:$A$207,D195)&lt;&gt;1)),"检查编号或关联","正常"))</f>
        <v/>
      </c>
    </row>
    <row r="196" ht="34" customHeight="1">
      <c r="A196" s="32" t="n"/>
      <c r="B196" s="32" t="n"/>
      <c r="C196" s="16">
        <f>IF(B196="","",IF(COUNTIF('公司'!$A$8:$A$207,B196)&lt;&gt;1,"编号缺失或重复",INDEX('公司'!$B$8:$B$207,MATCH(B196,'公司'!$A$8:$A$207,0))))</f>
        <v/>
      </c>
      <c r="D196" s="32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32" t="n"/>
      <c r="Q196" s="10" t="n"/>
      <c r="R196" s="10" t="n"/>
      <c r="S196" s="10" t="n"/>
      <c r="T196" s="16">
        <f>IF(A196="","",IF(OR(COUNTIF($A$8:$A$207,A196)&lt;&gt;1,COUNTIF('公司'!$A$8:$A$207,B196)&lt;&gt;1,AND(D196&lt;&gt;"",COUNTIF('联系人'!$A$8:$A$207,D196)&lt;&gt;1)),"检查编号或关联","正常"))</f>
        <v/>
      </c>
    </row>
    <row r="197" ht="34" customHeight="1">
      <c r="A197" s="32" t="n"/>
      <c r="B197" s="32" t="n"/>
      <c r="C197" s="16">
        <f>IF(B197="","",IF(COUNTIF('公司'!$A$8:$A$207,B197)&lt;&gt;1,"编号缺失或重复",INDEX('公司'!$B$8:$B$207,MATCH(B197,'公司'!$A$8:$A$207,0))))</f>
        <v/>
      </c>
      <c r="D197" s="32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32" t="n"/>
      <c r="Q197" s="10" t="n"/>
      <c r="R197" s="10" t="n"/>
      <c r="S197" s="10" t="n"/>
      <c r="T197" s="16">
        <f>IF(A197="","",IF(OR(COUNTIF($A$8:$A$207,A197)&lt;&gt;1,COUNTIF('公司'!$A$8:$A$207,B197)&lt;&gt;1,AND(D197&lt;&gt;"",COUNTIF('联系人'!$A$8:$A$207,D197)&lt;&gt;1)),"检查编号或关联","正常"))</f>
        <v/>
      </c>
    </row>
    <row r="198" ht="34" customHeight="1">
      <c r="A198" s="32" t="n"/>
      <c r="B198" s="32" t="n"/>
      <c r="C198" s="16">
        <f>IF(B198="","",IF(COUNTIF('公司'!$A$8:$A$207,B198)&lt;&gt;1,"编号缺失或重复",INDEX('公司'!$B$8:$B$207,MATCH(B198,'公司'!$A$8:$A$207,0))))</f>
        <v/>
      </c>
      <c r="D198" s="32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32" t="n"/>
      <c r="Q198" s="10" t="n"/>
      <c r="R198" s="10" t="n"/>
      <c r="S198" s="10" t="n"/>
      <c r="T198" s="16">
        <f>IF(A198="","",IF(OR(COUNTIF($A$8:$A$207,A198)&lt;&gt;1,COUNTIF('公司'!$A$8:$A$207,B198)&lt;&gt;1,AND(D198&lt;&gt;"",COUNTIF('联系人'!$A$8:$A$207,D198)&lt;&gt;1)),"检查编号或关联","正常"))</f>
        <v/>
      </c>
    </row>
    <row r="199" ht="34" customHeight="1">
      <c r="A199" s="32" t="n"/>
      <c r="B199" s="32" t="n"/>
      <c r="C199" s="16">
        <f>IF(B199="","",IF(COUNTIF('公司'!$A$8:$A$207,B199)&lt;&gt;1,"编号缺失或重复",INDEX('公司'!$B$8:$B$207,MATCH(B199,'公司'!$A$8:$A$207,0))))</f>
        <v/>
      </c>
      <c r="D199" s="32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32" t="n"/>
      <c r="Q199" s="10" t="n"/>
      <c r="R199" s="10" t="n"/>
      <c r="S199" s="10" t="n"/>
      <c r="T199" s="16">
        <f>IF(A199="","",IF(OR(COUNTIF($A$8:$A$207,A199)&lt;&gt;1,COUNTIF('公司'!$A$8:$A$207,B199)&lt;&gt;1,AND(D199&lt;&gt;"",COUNTIF('联系人'!$A$8:$A$207,D199)&lt;&gt;1)),"检查编号或关联","正常"))</f>
        <v/>
      </c>
    </row>
    <row r="200" ht="34" customHeight="1">
      <c r="A200" s="32" t="n"/>
      <c r="B200" s="32" t="n"/>
      <c r="C200" s="16">
        <f>IF(B200="","",IF(COUNTIF('公司'!$A$8:$A$207,B200)&lt;&gt;1,"编号缺失或重复",INDEX('公司'!$B$8:$B$207,MATCH(B200,'公司'!$A$8:$A$207,0))))</f>
        <v/>
      </c>
      <c r="D200" s="32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32" t="n"/>
      <c r="Q200" s="10" t="n"/>
      <c r="R200" s="10" t="n"/>
      <c r="S200" s="10" t="n"/>
      <c r="T200" s="16">
        <f>IF(A200="","",IF(OR(COUNTIF($A$8:$A$207,A200)&lt;&gt;1,COUNTIF('公司'!$A$8:$A$207,B200)&lt;&gt;1,AND(D200&lt;&gt;"",COUNTIF('联系人'!$A$8:$A$207,D200)&lt;&gt;1)),"检查编号或关联","正常"))</f>
        <v/>
      </c>
    </row>
    <row r="201" ht="34" customHeight="1">
      <c r="A201" s="32" t="n"/>
      <c r="B201" s="32" t="n"/>
      <c r="C201" s="16">
        <f>IF(B201="","",IF(COUNTIF('公司'!$A$8:$A$207,B201)&lt;&gt;1,"编号缺失或重复",INDEX('公司'!$B$8:$B$207,MATCH(B201,'公司'!$A$8:$A$207,0))))</f>
        <v/>
      </c>
      <c r="D201" s="32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32" t="n"/>
      <c r="Q201" s="10" t="n"/>
      <c r="R201" s="10" t="n"/>
      <c r="S201" s="10" t="n"/>
      <c r="T201" s="16">
        <f>IF(A201="","",IF(OR(COUNTIF($A$8:$A$207,A201)&lt;&gt;1,COUNTIF('公司'!$A$8:$A$207,B201)&lt;&gt;1,AND(D201&lt;&gt;"",COUNTIF('联系人'!$A$8:$A$207,D201)&lt;&gt;1)),"检查编号或关联","正常"))</f>
        <v/>
      </c>
    </row>
    <row r="202" ht="34" customHeight="1">
      <c r="A202" s="32" t="n"/>
      <c r="B202" s="32" t="n"/>
      <c r="C202" s="16">
        <f>IF(B202="","",IF(COUNTIF('公司'!$A$8:$A$207,B202)&lt;&gt;1,"编号缺失或重复",INDEX('公司'!$B$8:$B$207,MATCH(B202,'公司'!$A$8:$A$207,0))))</f>
        <v/>
      </c>
      <c r="D202" s="32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32" t="n"/>
      <c r="Q202" s="10" t="n"/>
      <c r="R202" s="10" t="n"/>
      <c r="S202" s="10" t="n"/>
      <c r="T202" s="16">
        <f>IF(A202="","",IF(OR(COUNTIF($A$8:$A$207,A202)&lt;&gt;1,COUNTIF('公司'!$A$8:$A$207,B202)&lt;&gt;1,AND(D202&lt;&gt;"",COUNTIF('联系人'!$A$8:$A$207,D202)&lt;&gt;1)),"检查编号或关联","正常"))</f>
        <v/>
      </c>
    </row>
    <row r="203" ht="34" customHeight="1">
      <c r="A203" s="32" t="n"/>
      <c r="B203" s="32" t="n"/>
      <c r="C203" s="16">
        <f>IF(B203="","",IF(COUNTIF('公司'!$A$8:$A$207,B203)&lt;&gt;1,"编号缺失或重复",INDEX('公司'!$B$8:$B$207,MATCH(B203,'公司'!$A$8:$A$207,0))))</f>
        <v/>
      </c>
      <c r="D203" s="32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32" t="n"/>
      <c r="Q203" s="10" t="n"/>
      <c r="R203" s="10" t="n"/>
      <c r="S203" s="10" t="n"/>
      <c r="T203" s="16">
        <f>IF(A203="","",IF(OR(COUNTIF($A$8:$A$207,A203)&lt;&gt;1,COUNTIF('公司'!$A$8:$A$207,B203)&lt;&gt;1,AND(D203&lt;&gt;"",COUNTIF('联系人'!$A$8:$A$207,D203)&lt;&gt;1)),"检查编号或关联","正常"))</f>
        <v/>
      </c>
    </row>
    <row r="204" ht="34" customHeight="1">
      <c r="A204" s="32" t="n"/>
      <c r="B204" s="32" t="n"/>
      <c r="C204" s="16">
        <f>IF(B204="","",IF(COUNTIF('公司'!$A$8:$A$207,B204)&lt;&gt;1,"编号缺失或重复",INDEX('公司'!$B$8:$B$207,MATCH(B204,'公司'!$A$8:$A$207,0))))</f>
        <v/>
      </c>
      <c r="D204" s="32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32" t="n"/>
      <c r="Q204" s="10" t="n"/>
      <c r="R204" s="10" t="n"/>
      <c r="S204" s="10" t="n"/>
      <c r="T204" s="16">
        <f>IF(A204="","",IF(OR(COUNTIF($A$8:$A$207,A204)&lt;&gt;1,COUNTIF('公司'!$A$8:$A$207,B204)&lt;&gt;1,AND(D204&lt;&gt;"",COUNTIF('联系人'!$A$8:$A$207,D204)&lt;&gt;1)),"检查编号或关联","正常"))</f>
        <v/>
      </c>
    </row>
    <row r="205" ht="34" customHeight="1">
      <c r="A205" s="32" t="n"/>
      <c r="B205" s="32" t="n"/>
      <c r="C205" s="16">
        <f>IF(B205="","",IF(COUNTIF('公司'!$A$8:$A$207,B205)&lt;&gt;1,"编号缺失或重复",INDEX('公司'!$B$8:$B$207,MATCH(B205,'公司'!$A$8:$A$207,0))))</f>
        <v/>
      </c>
      <c r="D205" s="32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32" t="n"/>
      <c r="Q205" s="10" t="n"/>
      <c r="R205" s="10" t="n"/>
      <c r="S205" s="10" t="n"/>
      <c r="T205" s="16">
        <f>IF(A205="","",IF(OR(COUNTIF($A$8:$A$207,A205)&lt;&gt;1,COUNTIF('公司'!$A$8:$A$207,B205)&lt;&gt;1,AND(D205&lt;&gt;"",COUNTIF('联系人'!$A$8:$A$207,D205)&lt;&gt;1)),"检查编号或关联","正常"))</f>
        <v/>
      </c>
    </row>
    <row r="206" ht="34" customHeight="1">
      <c r="A206" s="32" t="n"/>
      <c r="B206" s="32" t="n"/>
      <c r="C206" s="16">
        <f>IF(B206="","",IF(COUNTIF('公司'!$A$8:$A$207,B206)&lt;&gt;1,"编号缺失或重复",INDEX('公司'!$B$8:$B$207,MATCH(B206,'公司'!$A$8:$A$207,0))))</f>
        <v/>
      </c>
      <c r="D206" s="32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32" t="n"/>
      <c r="Q206" s="10" t="n"/>
      <c r="R206" s="10" t="n"/>
      <c r="S206" s="10" t="n"/>
      <c r="T206" s="16">
        <f>IF(A206="","",IF(OR(COUNTIF($A$8:$A$207,A206)&lt;&gt;1,COUNTIF('公司'!$A$8:$A$207,B206)&lt;&gt;1,AND(D206&lt;&gt;"",COUNTIF('联系人'!$A$8:$A$207,D206)&lt;&gt;1)),"检查编号或关联","正常"))</f>
        <v/>
      </c>
    </row>
    <row r="207" ht="34" customHeight="1">
      <c r="A207" s="32" t="n"/>
      <c r="B207" s="32" t="n"/>
      <c r="C207" s="16">
        <f>IF(B207="","",IF(COUNTIF('公司'!$A$8:$A$207,B207)&lt;&gt;1,"编号缺失或重复",INDEX('公司'!$B$8:$B$207,MATCH(B207,'公司'!$A$8:$A$207,0))))</f>
        <v/>
      </c>
      <c r="D207" s="32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32" t="n"/>
      <c r="Q207" s="10" t="n"/>
      <c r="R207" s="10" t="n"/>
      <c r="S207" s="10" t="n"/>
      <c r="T207" s="16">
        <f>IF(A207="","",IF(OR(COUNTIF($A$8:$A$207,A207)&lt;&gt;1,COUNTIF('公司'!$A$8:$A$207,B207)&lt;&gt;1,AND(D207&lt;&gt;"",COUNTIF('联系人'!$A$8:$A$207,D207)&lt;&gt;1)),"检查编号或关联","正常"))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T8:T207">
    <cfRule type="containsText" priority="2" operator="containsText" dxfId="0" text="检查"/>
  </conditionalFormatting>
  <dataValidations count="3">
    <dataValidation sqref="O8:O207" showDropDown="0" showInputMessage="0" showErrorMessage="0" allowBlank="0" type="list">
      <formula1>"待确认,同事建议,技术确认,客户测试通过,不适用"</formula1>
    </dataValidation>
    <dataValidation sqref="Q8:Q207" showDropDown="0" showInputMessage="0" showErrorMessage="0" allowBlank="0" type="list">
      <formula1>"需求确认,选型中,准备送样,测试中,测试通过,商务沟通,成交,暂停,流失"</formula1>
    </dataValidation>
    <dataValidation sqref="L8:L207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8297AA"/>
    <outlinePr summaryBelow="1" summaryRight="1"/>
    <pageSetUpPr/>
  </sheetPr>
  <dimension ref="A1:P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36" customWidth="1" min="8" max="8"/>
    <col width="36" customWidth="1" min="9" max="9"/>
    <col width="19" customWidth="1" min="10" max="10"/>
    <col width="19" customWidth="1" min="11" max="11"/>
    <col width="36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4" customHeight="1">
      <c r="A2" s="4" t="inlineStr">
        <is>
          <t>沟通记录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34" customHeight="1">
      <c r="A3" s="5" t="inlineStr">
        <is>
          <t>保留客户与我方原话，注明说话人和时间戳。长转写保存在原文件，本表记录关键片段与路径。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00" customHeight="1">
      <c r="A5" s="7" t="inlineStr">
        <is>
          <t>V示例001</t>
        </is>
      </c>
      <c r="B5" s="29" t="n">
        <v>46310</v>
      </c>
      <c r="C5" s="7" t="inlineStr">
        <is>
          <t>C示例001</t>
        </is>
      </c>
      <c r="D5" s="7" t="inlineStr">
        <is>
          <t>P示例001</t>
        </is>
      </c>
      <c r="E5" s="7" t="inlineStr">
        <is>
          <t>J示例001</t>
        </is>
      </c>
      <c r="F5" s="7" t="inlineStr">
        <is>
          <t>面访</t>
        </is>
      </c>
      <c r="G5" s="7" t="inlineStr">
        <is>
          <t>主谈</t>
        </is>
      </c>
      <c r="H5" s="7" t="inlineStr">
        <is>
          <t>张工 00:30：想先了解材料方案。〔虚构〕</t>
        </is>
      </c>
      <c r="I5" s="7" t="inlineStr">
        <is>
          <t>我 00:45：目前是什么基材和固化方式？〔虚构〕</t>
        </is>
      </c>
      <c r="J5" s="7" t="inlineStr">
        <is>
          <t>客户表达了解方案的意愿</t>
        </is>
      </c>
      <c r="K5" s="7" t="inlineStr">
        <is>
          <t>尚不能据此判断已决定测试</t>
        </is>
      </c>
      <c r="L5" s="7" t="inlineStr">
        <is>
          <t>基材、固化条件与验收标准</t>
        </is>
      </c>
      <c r="M5" s="7" t="inlineStr">
        <is>
          <t>未形成寄样约定</t>
        </is>
      </c>
      <c r="N5" s="7" t="inlineStr">
        <is>
          <t>T示例001</t>
        </is>
      </c>
      <c r="O5" s="7" t="inlineStr">
        <is>
          <t>填真实文件路径及时间戳</t>
        </is>
      </c>
      <c r="P5" s="7" t="inlineStr">
        <is>
          <t>示例</t>
        </is>
      </c>
    </row>
    <row r="6" ht="34" customHeight="1">
      <c r="A6" s="3" t="n"/>
      <c r="B6" s="30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42" customHeight="1">
      <c r="A7" s="9" t="inlineStr">
        <is>
          <t>沟通编号</t>
        </is>
      </c>
      <c r="B7" s="31" t="inlineStr">
        <is>
          <t>日期</t>
        </is>
      </c>
      <c r="C7" s="9" t="inlineStr">
        <is>
          <t>公司编号</t>
        </is>
      </c>
      <c r="D7" s="9" t="inlineStr">
        <is>
          <t>联系人编号</t>
        </is>
      </c>
      <c r="E7" s="9" t="inlineStr">
        <is>
          <t>项目编号</t>
        </is>
      </c>
      <c r="F7" s="9" t="inlineStr">
        <is>
          <t>渠道</t>
        </is>
      </c>
      <c r="G7" s="9" t="inlineStr">
        <is>
          <t>我的角色</t>
        </is>
      </c>
      <c r="H7" s="9" t="inlineStr">
        <is>
          <t>客户原话及时间戳</t>
        </is>
      </c>
      <c r="I7" s="9" t="inlineStr">
        <is>
          <t>我方原话及时间戳</t>
        </is>
      </c>
      <c r="J7" s="9" t="inlineStr">
        <is>
          <t>已确认事实</t>
        </is>
      </c>
      <c r="K7" s="9" t="inlineStr">
        <is>
          <t>AI判断或推测</t>
        </is>
      </c>
      <c r="L7" s="9" t="inlineStr">
        <is>
          <t>待核实问题</t>
        </is>
      </c>
      <c r="M7" s="9" t="inlineStr">
        <is>
          <t>本次约定</t>
        </is>
      </c>
      <c r="N7" s="9" t="inlineStr">
        <is>
          <t>下一步任务编号</t>
        </is>
      </c>
      <c r="O7" s="9" t="inlineStr">
        <is>
          <t>原始转写路径或链接</t>
        </is>
      </c>
      <c r="P7" s="9" t="inlineStr">
        <is>
          <t>关联检查〔自动〕</t>
        </is>
      </c>
    </row>
    <row r="8" ht="34" customHeight="1">
      <c r="A8" s="32" t="n"/>
      <c r="B8" s="33" t="n"/>
      <c r="C8" s="32" t="n"/>
      <c r="D8" s="32" t="n"/>
      <c r="E8" s="32" t="n"/>
      <c r="F8" s="10" t="n"/>
      <c r="G8" s="10" t="n"/>
      <c r="H8" s="10" t="n"/>
      <c r="I8" s="10" t="n"/>
      <c r="J8" s="10" t="n"/>
      <c r="K8" s="10" t="n"/>
      <c r="L8" s="10" t="n"/>
      <c r="M8" s="10" t="n"/>
      <c r="N8" s="32" t="n"/>
      <c r="O8" s="10" t="n"/>
      <c r="P8" s="16">
        <f>IF(A8="","",IF(OR(COUNTIF($A$8:$A$207,A8)&lt;&gt;1,COUNTIF('公司'!$A$8:$A$207,C8)&lt;&gt;1,AND(D8&lt;&gt;"",COUNTIF('联系人'!$A$8:$A$207,D8)&lt;&gt;1),AND(E8&lt;&gt;"",COUNTIF('用胶项目'!$A$8:$A$207,E8)&lt;&gt;1),AND(N8&lt;&gt;"",COUNTIF('跟进待办'!$A$8:$A$207,N8)&lt;&gt;1)),"检查编号或关联","正常"))</f>
        <v/>
      </c>
    </row>
    <row r="9" ht="34" customHeight="1">
      <c r="A9" s="32" t="n"/>
      <c r="B9" s="33" t="n"/>
      <c r="C9" s="32" t="n"/>
      <c r="D9" s="32" t="n"/>
      <c r="E9" s="32" t="n"/>
      <c r="F9" s="10" t="n"/>
      <c r="G9" s="10" t="n"/>
      <c r="H9" s="10" t="n"/>
      <c r="I9" s="10" t="n"/>
      <c r="J9" s="10" t="n"/>
      <c r="K9" s="10" t="n"/>
      <c r="L9" s="10" t="n"/>
      <c r="M9" s="10" t="n"/>
      <c r="N9" s="32" t="n"/>
      <c r="O9" s="10" t="n"/>
      <c r="P9" s="16">
        <f>IF(A9="","",IF(OR(COUNTIF($A$8:$A$207,A9)&lt;&gt;1,COUNTIF('公司'!$A$8:$A$207,C9)&lt;&gt;1,AND(D9&lt;&gt;"",COUNTIF('联系人'!$A$8:$A$207,D9)&lt;&gt;1),AND(E9&lt;&gt;"",COUNTIF('用胶项目'!$A$8:$A$207,E9)&lt;&gt;1),AND(N9&lt;&gt;"",COUNTIF('跟进待办'!$A$8:$A$207,N9)&lt;&gt;1)),"检查编号或关联","正常"))</f>
        <v/>
      </c>
    </row>
    <row r="10" ht="34" customHeight="1">
      <c r="A10" s="32" t="n"/>
      <c r="B10" s="33" t="n"/>
      <c r="C10" s="32" t="n"/>
      <c r="D10" s="32" t="n"/>
      <c r="E10" s="32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32" t="n"/>
      <c r="O10" s="10" t="n"/>
      <c r="P10" s="16">
        <f>IF(A10="","",IF(OR(COUNTIF($A$8:$A$207,A10)&lt;&gt;1,COUNTIF('公司'!$A$8:$A$207,C10)&lt;&gt;1,AND(D10&lt;&gt;"",COUNTIF('联系人'!$A$8:$A$207,D10)&lt;&gt;1),AND(E10&lt;&gt;"",COUNTIF('用胶项目'!$A$8:$A$207,E10)&lt;&gt;1),AND(N10&lt;&gt;"",COUNTIF('跟进待办'!$A$8:$A$207,N10)&lt;&gt;1)),"检查编号或关联","正常"))</f>
        <v/>
      </c>
    </row>
    <row r="11" ht="34" customHeight="1">
      <c r="A11" s="32" t="n"/>
      <c r="B11" s="33" t="n"/>
      <c r="C11" s="32" t="n"/>
      <c r="D11" s="32" t="n"/>
      <c r="E11" s="32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32" t="n"/>
      <c r="O11" s="10" t="n"/>
      <c r="P11" s="16">
        <f>IF(A11="","",IF(OR(COUNTIF($A$8:$A$207,A11)&lt;&gt;1,COUNTIF('公司'!$A$8:$A$207,C11)&lt;&gt;1,AND(D11&lt;&gt;"",COUNTIF('联系人'!$A$8:$A$207,D11)&lt;&gt;1),AND(E11&lt;&gt;"",COUNTIF('用胶项目'!$A$8:$A$207,E11)&lt;&gt;1),AND(N11&lt;&gt;"",COUNTIF('跟进待办'!$A$8:$A$207,N11)&lt;&gt;1)),"检查编号或关联","正常"))</f>
        <v/>
      </c>
    </row>
    <row r="12" ht="34" customHeight="1">
      <c r="A12" s="32" t="n"/>
      <c r="B12" s="33" t="n"/>
      <c r="C12" s="32" t="n"/>
      <c r="D12" s="32" t="n"/>
      <c r="E12" s="32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32" t="n"/>
      <c r="O12" s="10" t="n"/>
      <c r="P12" s="16">
        <f>IF(A12="","",IF(OR(COUNTIF($A$8:$A$207,A12)&lt;&gt;1,COUNTIF('公司'!$A$8:$A$207,C12)&lt;&gt;1,AND(D12&lt;&gt;"",COUNTIF('联系人'!$A$8:$A$207,D12)&lt;&gt;1),AND(E12&lt;&gt;"",COUNTIF('用胶项目'!$A$8:$A$207,E12)&lt;&gt;1),AND(N12&lt;&gt;"",COUNTIF('跟进待办'!$A$8:$A$207,N12)&lt;&gt;1)),"检查编号或关联","正常"))</f>
        <v/>
      </c>
    </row>
    <row r="13" ht="34" customHeight="1">
      <c r="A13" s="32" t="n"/>
      <c r="B13" s="33" t="n"/>
      <c r="C13" s="32" t="n"/>
      <c r="D13" s="32" t="n"/>
      <c r="E13" s="32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32" t="n"/>
      <c r="O13" s="10" t="n"/>
      <c r="P13" s="16">
        <f>IF(A13="","",IF(OR(COUNTIF($A$8:$A$207,A13)&lt;&gt;1,COUNTIF('公司'!$A$8:$A$207,C13)&lt;&gt;1,AND(D13&lt;&gt;"",COUNTIF('联系人'!$A$8:$A$207,D13)&lt;&gt;1),AND(E13&lt;&gt;"",COUNTIF('用胶项目'!$A$8:$A$207,E13)&lt;&gt;1),AND(N13&lt;&gt;"",COUNTIF('跟进待办'!$A$8:$A$207,N13)&lt;&gt;1)),"检查编号或关联","正常"))</f>
        <v/>
      </c>
    </row>
    <row r="14" ht="34" customHeight="1">
      <c r="A14" s="32" t="n"/>
      <c r="B14" s="33" t="n"/>
      <c r="C14" s="32" t="n"/>
      <c r="D14" s="32" t="n"/>
      <c r="E14" s="32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32" t="n"/>
      <c r="O14" s="10" t="n"/>
      <c r="P14" s="16">
        <f>IF(A14="","",IF(OR(COUNTIF($A$8:$A$207,A14)&lt;&gt;1,COUNTIF('公司'!$A$8:$A$207,C14)&lt;&gt;1,AND(D14&lt;&gt;"",COUNTIF('联系人'!$A$8:$A$207,D14)&lt;&gt;1),AND(E14&lt;&gt;"",COUNTIF('用胶项目'!$A$8:$A$207,E14)&lt;&gt;1),AND(N14&lt;&gt;"",COUNTIF('跟进待办'!$A$8:$A$207,N14)&lt;&gt;1)),"检查编号或关联","正常"))</f>
        <v/>
      </c>
    </row>
    <row r="15" ht="34" customHeight="1">
      <c r="A15" s="32" t="n"/>
      <c r="B15" s="33" t="n"/>
      <c r="C15" s="32" t="n"/>
      <c r="D15" s="32" t="n"/>
      <c r="E15" s="32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32" t="n"/>
      <c r="O15" s="10" t="n"/>
      <c r="P15" s="16">
        <f>IF(A15="","",IF(OR(COUNTIF($A$8:$A$207,A15)&lt;&gt;1,COUNTIF('公司'!$A$8:$A$207,C15)&lt;&gt;1,AND(D15&lt;&gt;"",COUNTIF('联系人'!$A$8:$A$207,D15)&lt;&gt;1),AND(E15&lt;&gt;"",COUNTIF('用胶项目'!$A$8:$A$207,E15)&lt;&gt;1),AND(N15&lt;&gt;"",COUNTIF('跟进待办'!$A$8:$A$207,N15)&lt;&gt;1)),"检查编号或关联","正常"))</f>
        <v/>
      </c>
    </row>
    <row r="16" ht="34" customHeight="1">
      <c r="A16" s="32" t="n"/>
      <c r="B16" s="33" t="n"/>
      <c r="C16" s="32" t="n"/>
      <c r="D16" s="32" t="n"/>
      <c r="E16" s="32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32" t="n"/>
      <c r="O16" s="10" t="n"/>
      <c r="P16" s="16">
        <f>IF(A16="","",IF(OR(COUNTIF($A$8:$A$207,A16)&lt;&gt;1,COUNTIF('公司'!$A$8:$A$207,C16)&lt;&gt;1,AND(D16&lt;&gt;"",COUNTIF('联系人'!$A$8:$A$207,D16)&lt;&gt;1),AND(E16&lt;&gt;"",COUNTIF('用胶项目'!$A$8:$A$207,E16)&lt;&gt;1),AND(N16&lt;&gt;"",COUNTIF('跟进待办'!$A$8:$A$207,N16)&lt;&gt;1)),"检查编号或关联","正常"))</f>
        <v/>
      </c>
    </row>
    <row r="17" ht="34" customHeight="1">
      <c r="A17" s="32" t="n"/>
      <c r="B17" s="33" t="n"/>
      <c r="C17" s="32" t="n"/>
      <c r="D17" s="32" t="n"/>
      <c r="E17" s="32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32" t="n"/>
      <c r="O17" s="10" t="n"/>
      <c r="P17" s="16">
        <f>IF(A17="","",IF(OR(COUNTIF($A$8:$A$207,A17)&lt;&gt;1,COUNTIF('公司'!$A$8:$A$207,C17)&lt;&gt;1,AND(D17&lt;&gt;"",COUNTIF('联系人'!$A$8:$A$207,D17)&lt;&gt;1),AND(E17&lt;&gt;"",COUNTIF('用胶项目'!$A$8:$A$207,E17)&lt;&gt;1),AND(N17&lt;&gt;"",COUNTIF('跟进待办'!$A$8:$A$207,N17)&lt;&gt;1)),"检查编号或关联","正常"))</f>
        <v/>
      </c>
    </row>
    <row r="18" ht="34" customHeight="1">
      <c r="A18" s="32" t="n"/>
      <c r="B18" s="33" t="n"/>
      <c r="C18" s="32" t="n"/>
      <c r="D18" s="32" t="n"/>
      <c r="E18" s="32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32" t="n"/>
      <c r="O18" s="10" t="n"/>
      <c r="P18" s="16">
        <f>IF(A18="","",IF(OR(COUNTIF($A$8:$A$207,A18)&lt;&gt;1,COUNTIF('公司'!$A$8:$A$207,C18)&lt;&gt;1,AND(D18&lt;&gt;"",COUNTIF('联系人'!$A$8:$A$207,D18)&lt;&gt;1),AND(E18&lt;&gt;"",COUNTIF('用胶项目'!$A$8:$A$207,E18)&lt;&gt;1),AND(N18&lt;&gt;"",COUNTIF('跟进待办'!$A$8:$A$207,N18)&lt;&gt;1)),"检查编号或关联","正常"))</f>
        <v/>
      </c>
    </row>
    <row r="19" ht="34" customHeight="1">
      <c r="A19" s="32" t="n"/>
      <c r="B19" s="33" t="n"/>
      <c r="C19" s="32" t="n"/>
      <c r="D19" s="32" t="n"/>
      <c r="E19" s="32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32" t="n"/>
      <c r="O19" s="10" t="n"/>
      <c r="P19" s="16">
        <f>IF(A19="","",IF(OR(COUNTIF($A$8:$A$207,A19)&lt;&gt;1,COUNTIF('公司'!$A$8:$A$207,C19)&lt;&gt;1,AND(D19&lt;&gt;"",COUNTIF('联系人'!$A$8:$A$207,D19)&lt;&gt;1),AND(E19&lt;&gt;"",COUNTIF('用胶项目'!$A$8:$A$207,E19)&lt;&gt;1),AND(N19&lt;&gt;"",COUNTIF('跟进待办'!$A$8:$A$207,N19)&lt;&gt;1)),"检查编号或关联","正常"))</f>
        <v/>
      </c>
    </row>
    <row r="20" ht="34" customHeight="1">
      <c r="A20" s="32" t="n"/>
      <c r="B20" s="33" t="n"/>
      <c r="C20" s="32" t="n"/>
      <c r="D20" s="32" t="n"/>
      <c r="E20" s="32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32" t="n"/>
      <c r="O20" s="10" t="n"/>
      <c r="P20" s="16">
        <f>IF(A20="","",IF(OR(COUNTIF($A$8:$A$207,A20)&lt;&gt;1,COUNTIF('公司'!$A$8:$A$207,C20)&lt;&gt;1,AND(D20&lt;&gt;"",COUNTIF('联系人'!$A$8:$A$207,D20)&lt;&gt;1),AND(E20&lt;&gt;"",COUNTIF('用胶项目'!$A$8:$A$207,E20)&lt;&gt;1),AND(N20&lt;&gt;"",COUNTIF('跟进待办'!$A$8:$A$207,N20)&lt;&gt;1)),"检查编号或关联","正常"))</f>
        <v/>
      </c>
    </row>
    <row r="21" ht="34" customHeight="1">
      <c r="A21" s="32" t="n"/>
      <c r="B21" s="33" t="n"/>
      <c r="C21" s="32" t="n"/>
      <c r="D21" s="32" t="n"/>
      <c r="E21" s="32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32" t="n"/>
      <c r="O21" s="10" t="n"/>
      <c r="P21" s="16">
        <f>IF(A21="","",IF(OR(COUNTIF($A$8:$A$207,A21)&lt;&gt;1,COUNTIF('公司'!$A$8:$A$207,C21)&lt;&gt;1,AND(D21&lt;&gt;"",COUNTIF('联系人'!$A$8:$A$207,D21)&lt;&gt;1),AND(E21&lt;&gt;"",COUNTIF('用胶项目'!$A$8:$A$207,E21)&lt;&gt;1),AND(N21&lt;&gt;"",COUNTIF('跟进待办'!$A$8:$A$207,N21)&lt;&gt;1)),"检查编号或关联","正常"))</f>
        <v/>
      </c>
    </row>
    <row r="22" ht="34" customHeight="1">
      <c r="A22" s="32" t="n"/>
      <c r="B22" s="33" t="n"/>
      <c r="C22" s="32" t="n"/>
      <c r="D22" s="32" t="n"/>
      <c r="E22" s="32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32" t="n"/>
      <c r="O22" s="10" t="n"/>
      <c r="P22" s="16">
        <f>IF(A22="","",IF(OR(COUNTIF($A$8:$A$207,A22)&lt;&gt;1,COUNTIF('公司'!$A$8:$A$207,C22)&lt;&gt;1,AND(D22&lt;&gt;"",COUNTIF('联系人'!$A$8:$A$207,D22)&lt;&gt;1),AND(E22&lt;&gt;"",COUNTIF('用胶项目'!$A$8:$A$207,E22)&lt;&gt;1),AND(N22&lt;&gt;"",COUNTIF('跟进待办'!$A$8:$A$207,N22)&lt;&gt;1)),"检查编号或关联","正常"))</f>
        <v/>
      </c>
    </row>
    <row r="23" ht="34" customHeight="1">
      <c r="A23" s="32" t="n"/>
      <c r="B23" s="33" t="n"/>
      <c r="C23" s="32" t="n"/>
      <c r="D23" s="32" t="n"/>
      <c r="E23" s="32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32" t="n"/>
      <c r="O23" s="10" t="n"/>
      <c r="P23" s="16">
        <f>IF(A23="","",IF(OR(COUNTIF($A$8:$A$207,A23)&lt;&gt;1,COUNTIF('公司'!$A$8:$A$207,C23)&lt;&gt;1,AND(D23&lt;&gt;"",COUNTIF('联系人'!$A$8:$A$207,D23)&lt;&gt;1),AND(E23&lt;&gt;"",COUNTIF('用胶项目'!$A$8:$A$207,E23)&lt;&gt;1),AND(N23&lt;&gt;"",COUNTIF('跟进待办'!$A$8:$A$207,N23)&lt;&gt;1)),"检查编号或关联","正常"))</f>
        <v/>
      </c>
    </row>
    <row r="24" ht="34" customHeight="1">
      <c r="A24" s="32" t="n"/>
      <c r="B24" s="33" t="n"/>
      <c r="C24" s="32" t="n"/>
      <c r="D24" s="32" t="n"/>
      <c r="E24" s="32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32" t="n"/>
      <c r="O24" s="10" t="n"/>
      <c r="P24" s="16">
        <f>IF(A24="","",IF(OR(COUNTIF($A$8:$A$207,A24)&lt;&gt;1,COUNTIF('公司'!$A$8:$A$207,C24)&lt;&gt;1,AND(D24&lt;&gt;"",COUNTIF('联系人'!$A$8:$A$207,D24)&lt;&gt;1),AND(E24&lt;&gt;"",COUNTIF('用胶项目'!$A$8:$A$207,E24)&lt;&gt;1),AND(N24&lt;&gt;"",COUNTIF('跟进待办'!$A$8:$A$207,N24)&lt;&gt;1)),"检查编号或关联","正常"))</f>
        <v/>
      </c>
    </row>
    <row r="25" ht="34" customHeight="1">
      <c r="A25" s="32" t="n"/>
      <c r="B25" s="33" t="n"/>
      <c r="C25" s="32" t="n"/>
      <c r="D25" s="32" t="n"/>
      <c r="E25" s="32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32" t="n"/>
      <c r="O25" s="10" t="n"/>
      <c r="P25" s="16">
        <f>IF(A25="","",IF(OR(COUNTIF($A$8:$A$207,A25)&lt;&gt;1,COUNTIF('公司'!$A$8:$A$207,C25)&lt;&gt;1,AND(D25&lt;&gt;"",COUNTIF('联系人'!$A$8:$A$207,D25)&lt;&gt;1),AND(E25&lt;&gt;"",COUNTIF('用胶项目'!$A$8:$A$207,E25)&lt;&gt;1),AND(N25&lt;&gt;"",COUNTIF('跟进待办'!$A$8:$A$207,N25)&lt;&gt;1)),"检查编号或关联","正常"))</f>
        <v/>
      </c>
    </row>
    <row r="26" ht="34" customHeight="1">
      <c r="A26" s="32" t="n"/>
      <c r="B26" s="33" t="n"/>
      <c r="C26" s="32" t="n"/>
      <c r="D26" s="32" t="n"/>
      <c r="E26" s="32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32" t="n"/>
      <c r="O26" s="10" t="n"/>
      <c r="P26" s="16">
        <f>IF(A26="","",IF(OR(COUNTIF($A$8:$A$207,A26)&lt;&gt;1,COUNTIF('公司'!$A$8:$A$207,C26)&lt;&gt;1,AND(D26&lt;&gt;"",COUNTIF('联系人'!$A$8:$A$207,D26)&lt;&gt;1),AND(E26&lt;&gt;"",COUNTIF('用胶项目'!$A$8:$A$207,E26)&lt;&gt;1),AND(N26&lt;&gt;"",COUNTIF('跟进待办'!$A$8:$A$207,N26)&lt;&gt;1)),"检查编号或关联","正常"))</f>
        <v/>
      </c>
    </row>
    <row r="27" ht="34" customHeight="1">
      <c r="A27" s="32" t="n"/>
      <c r="B27" s="33" t="n"/>
      <c r="C27" s="32" t="n"/>
      <c r="D27" s="32" t="n"/>
      <c r="E27" s="32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32" t="n"/>
      <c r="O27" s="10" t="n"/>
      <c r="P27" s="16">
        <f>IF(A27="","",IF(OR(COUNTIF($A$8:$A$207,A27)&lt;&gt;1,COUNTIF('公司'!$A$8:$A$207,C27)&lt;&gt;1,AND(D27&lt;&gt;"",COUNTIF('联系人'!$A$8:$A$207,D27)&lt;&gt;1),AND(E27&lt;&gt;"",COUNTIF('用胶项目'!$A$8:$A$207,E27)&lt;&gt;1),AND(N27&lt;&gt;"",COUNTIF('跟进待办'!$A$8:$A$207,N27)&lt;&gt;1)),"检查编号或关联","正常"))</f>
        <v/>
      </c>
    </row>
    <row r="28" ht="34" customHeight="1">
      <c r="A28" s="32" t="n"/>
      <c r="B28" s="33" t="n"/>
      <c r="C28" s="32" t="n"/>
      <c r="D28" s="32" t="n"/>
      <c r="E28" s="32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32" t="n"/>
      <c r="O28" s="10" t="n"/>
      <c r="P28" s="16">
        <f>IF(A28="","",IF(OR(COUNTIF($A$8:$A$207,A28)&lt;&gt;1,COUNTIF('公司'!$A$8:$A$207,C28)&lt;&gt;1,AND(D28&lt;&gt;"",COUNTIF('联系人'!$A$8:$A$207,D28)&lt;&gt;1),AND(E28&lt;&gt;"",COUNTIF('用胶项目'!$A$8:$A$207,E28)&lt;&gt;1),AND(N28&lt;&gt;"",COUNTIF('跟进待办'!$A$8:$A$207,N28)&lt;&gt;1)),"检查编号或关联","正常"))</f>
        <v/>
      </c>
    </row>
    <row r="29" ht="34" customHeight="1">
      <c r="A29" s="32" t="n"/>
      <c r="B29" s="33" t="n"/>
      <c r="C29" s="32" t="n"/>
      <c r="D29" s="32" t="n"/>
      <c r="E29" s="32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32" t="n"/>
      <c r="O29" s="10" t="n"/>
      <c r="P29" s="16">
        <f>IF(A29="","",IF(OR(COUNTIF($A$8:$A$207,A29)&lt;&gt;1,COUNTIF('公司'!$A$8:$A$207,C29)&lt;&gt;1,AND(D29&lt;&gt;"",COUNTIF('联系人'!$A$8:$A$207,D29)&lt;&gt;1),AND(E29&lt;&gt;"",COUNTIF('用胶项目'!$A$8:$A$207,E29)&lt;&gt;1),AND(N29&lt;&gt;"",COUNTIF('跟进待办'!$A$8:$A$207,N29)&lt;&gt;1)),"检查编号或关联","正常"))</f>
        <v/>
      </c>
    </row>
    <row r="30" ht="34" customHeight="1">
      <c r="A30" s="32" t="n"/>
      <c r="B30" s="33" t="n"/>
      <c r="C30" s="32" t="n"/>
      <c r="D30" s="32" t="n"/>
      <c r="E30" s="32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32" t="n"/>
      <c r="O30" s="10" t="n"/>
      <c r="P30" s="16">
        <f>IF(A30="","",IF(OR(COUNTIF($A$8:$A$207,A30)&lt;&gt;1,COUNTIF('公司'!$A$8:$A$207,C30)&lt;&gt;1,AND(D30&lt;&gt;"",COUNTIF('联系人'!$A$8:$A$207,D30)&lt;&gt;1),AND(E30&lt;&gt;"",COUNTIF('用胶项目'!$A$8:$A$207,E30)&lt;&gt;1),AND(N30&lt;&gt;"",COUNTIF('跟进待办'!$A$8:$A$207,N30)&lt;&gt;1)),"检查编号或关联","正常"))</f>
        <v/>
      </c>
    </row>
    <row r="31" ht="34" customHeight="1">
      <c r="A31" s="32" t="n"/>
      <c r="B31" s="33" t="n"/>
      <c r="C31" s="32" t="n"/>
      <c r="D31" s="32" t="n"/>
      <c r="E31" s="32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32" t="n"/>
      <c r="O31" s="10" t="n"/>
      <c r="P31" s="16">
        <f>IF(A31="","",IF(OR(COUNTIF($A$8:$A$207,A31)&lt;&gt;1,COUNTIF('公司'!$A$8:$A$207,C31)&lt;&gt;1,AND(D31&lt;&gt;"",COUNTIF('联系人'!$A$8:$A$207,D31)&lt;&gt;1),AND(E31&lt;&gt;"",COUNTIF('用胶项目'!$A$8:$A$207,E31)&lt;&gt;1),AND(N31&lt;&gt;"",COUNTIF('跟进待办'!$A$8:$A$207,N31)&lt;&gt;1)),"检查编号或关联","正常"))</f>
        <v/>
      </c>
    </row>
    <row r="32" ht="34" customHeight="1">
      <c r="A32" s="32" t="n"/>
      <c r="B32" s="33" t="n"/>
      <c r="C32" s="32" t="n"/>
      <c r="D32" s="32" t="n"/>
      <c r="E32" s="32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32" t="n"/>
      <c r="O32" s="10" t="n"/>
      <c r="P32" s="16">
        <f>IF(A32="","",IF(OR(COUNTIF($A$8:$A$207,A32)&lt;&gt;1,COUNTIF('公司'!$A$8:$A$207,C32)&lt;&gt;1,AND(D32&lt;&gt;"",COUNTIF('联系人'!$A$8:$A$207,D32)&lt;&gt;1),AND(E32&lt;&gt;"",COUNTIF('用胶项目'!$A$8:$A$207,E32)&lt;&gt;1),AND(N32&lt;&gt;"",COUNTIF('跟进待办'!$A$8:$A$207,N32)&lt;&gt;1)),"检查编号或关联","正常"))</f>
        <v/>
      </c>
    </row>
    <row r="33" ht="34" customHeight="1">
      <c r="A33" s="32" t="n"/>
      <c r="B33" s="33" t="n"/>
      <c r="C33" s="32" t="n"/>
      <c r="D33" s="32" t="n"/>
      <c r="E33" s="32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32" t="n"/>
      <c r="O33" s="10" t="n"/>
      <c r="P33" s="16">
        <f>IF(A33="","",IF(OR(COUNTIF($A$8:$A$207,A33)&lt;&gt;1,COUNTIF('公司'!$A$8:$A$207,C33)&lt;&gt;1,AND(D33&lt;&gt;"",COUNTIF('联系人'!$A$8:$A$207,D33)&lt;&gt;1),AND(E33&lt;&gt;"",COUNTIF('用胶项目'!$A$8:$A$207,E33)&lt;&gt;1),AND(N33&lt;&gt;"",COUNTIF('跟进待办'!$A$8:$A$207,N33)&lt;&gt;1)),"检查编号或关联","正常"))</f>
        <v/>
      </c>
    </row>
    <row r="34" ht="34" customHeight="1">
      <c r="A34" s="32" t="n"/>
      <c r="B34" s="33" t="n"/>
      <c r="C34" s="32" t="n"/>
      <c r="D34" s="32" t="n"/>
      <c r="E34" s="32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32" t="n"/>
      <c r="O34" s="10" t="n"/>
      <c r="P34" s="16">
        <f>IF(A34="","",IF(OR(COUNTIF($A$8:$A$207,A34)&lt;&gt;1,COUNTIF('公司'!$A$8:$A$207,C34)&lt;&gt;1,AND(D34&lt;&gt;"",COUNTIF('联系人'!$A$8:$A$207,D34)&lt;&gt;1),AND(E34&lt;&gt;"",COUNTIF('用胶项目'!$A$8:$A$207,E34)&lt;&gt;1),AND(N34&lt;&gt;"",COUNTIF('跟进待办'!$A$8:$A$207,N34)&lt;&gt;1)),"检查编号或关联","正常"))</f>
        <v/>
      </c>
    </row>
    <row r="35" ht="34" customHeight="1">
      <c r="A35" s="32" t="n"/>
      <c r="B35" s="33" t="n"/>
      <c r="C35" s="32" t="n"/>
      <c r="D35" s="32" t="n"/>
      <c r="E35" s="32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32" t="n"/>
      <c r="O35" s="10" t="n"/>
      <c r="P35" s="16">
        <f>IF(A35="","",IF(OR(COUNTIF($A$8:$A$207,A35)&lt;&gt;1,COUNTIF('公司'!$A$8:$A$207,C35)&lt;&gt;1,AND(D35&lt;&gt;"",COUNTIF('联系人'!$A$8:$A$207,D35)&lt;&gt;1),AND(E35&lt;&gt;"",COUNTIF('用胶项目'!$A$8:$A$207,E35)&lt;&gt;1),AND(N35&lt;&gt;"",COUNTIF('跟进待办'!$A$8:$A$207,N35)&lt;&gt;1)),"检查编号或关联","正常"))</f>
        <v/>
      </c>
    </row>
    <row r="36" ht="34" customHeight="1">
      <c r="A36" s="32" t="n"/>
      <c r="B36" s="33" t="n"/>
      <c r="C36" s="32" t="n"/>
      <c r="D36" s="32" t="n"/>
      <c r="E36" s="32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32" t="n"/>
      <c r="O36" s="10" t="n"/>
      <c r="P36" s="16">
        <f>IF(A36="","",IF(OR(COUNTIF($A$8:$A$207,A36)&lt;&gt;1,COUNTIF('公司'!$A$8:$A$207,C36)&lt;&gt;1,AND(D36&lt;&gt;"",COUNTIF('联系人'!$A$8:$A$207,D36)&lt;&gt;1),AND(E36&lt;&gt;"",COUNTIF('用胶项目'!$A$8:$A$207,E36)&lt;&gt;1),AND(N36&lt;&gt;"",COUNTIF('跟进待办'!$A$8:$A$207,N36)&lt;&gt;1)),"检查编号或关联","正常"))</f>
        <v/>
      </c>
    </row>
    <row r="37" ht="34" customHeight="1">
      <c r="A37" s="32" t="n"/>
      <c r="B37" s="33" t="n"/>
      <c r="C37" s="32" t="n"/>
      <c r="D37" s="32" t="n"/>
      <c r="E37" s="32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32" t="n"/>
      <c r="O37" s="10" t="n"/>
      <c r="P37" s="16">
        <f>IF(A37="","",IF(OR(COUNTIF($A$8:$A$207,A37)&lt;&gt;1,COUNTIF('公司'!$A$8:$A$207,C37)&lt;&gt;1,AND(D37&lt;&gt;"",COUNTIF('联系人'!$A$8:$A$207,D37)&lt;&gt;1),AND(E37&lt;&gt;"",COUNTIF('用胶项目'!$A$8:$A$207,E37)&lt;&gt;1),AND(N37&lt;&gt;"",COUNTIF('跟进待办'!$A$8:$A$207,N37)&lt;&gt;1)),"检查编号或关联","正常"))</f>
        <v/>
      </c>
    </row>
    <row r="38" ht="34" customHeight="1">
      <c r="A38" s="32" t="n"/>
      <c r="B38" s="33" t="n"/>
      <c r="C38" s="32" t="n"/>
      <c r="D38" s="32" t="n"/>
      <c r="E38" s="32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32" t="n"/>
      <c r="O38" s="10" t="n"/>
      <c r="P38" s="16">
        <f>IF(A38="","",IF(OR(COUNTIF($A$8:$A$207,A38)&lt;&gt;1,COUNTIF('公司'!$A$8:$A$207,C38)&lt;&gt;1,AND(D38&lt;&gt;"",COUNTIF('联系人'!$A$8:$A$207,D38)&lt;&gt;1),AND(E38&lt;&gt;"",COUNTIF('用胶项目'!$A$8:$A$207,E38)&lt;&gt;1),AND(N38&lt;&gt;"",COUNTIF('跟进待办'!$A$8:$A$207,N38)&lt;&gt;1)),"检查编号或关联","正常"))</f>
        <v/>
      </c>
    </row>
    <row r="39" ht="34" customHeight="1">
      <c r="A39" s="32" t="n"/>
      <c r="B39" s="33" t="n"/>
      <c r="C39" s="32" t="n"/>
      <c r="D39" s="32" t="n"/>
      <c r="E39" s="32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32" t="n"/>
      <c r="O39" s="10" t="n"/>
      <c r="P39" s="16">
        <f>IF(A39="","",IF(OR(COUNTIF($A$8:$A$207,A39)&lt;&gt;1,COUNTIF('公司'!$A$8:$A$207,C39)&lt;&gt;1,AND(D39&lt;&gt;"",COUNTIF('联系人'!$A$8:$A$207,D39)&lt;&gt;1),AND(E39&lt;&gt;"",COUNTIF('用胶项目'!$A$8:$A$207,E39)&lt;&gt;1),AND(N39&lt;&gt;"",COUNTIF('跟进待办'!$A$8:$A$207,N39)&lt;&gt;1)),"检查编号或关联","正常"))</f>
        <v/>
      </c>
    </row>
    <row r="40" ht="34" customHeight="1">
      <c r="A40" s="32" t="n"/>
      <c r="B40" s="33" t="n"/>
      <c r="C40" s="32" t="n"/>
      <c r="D40" s="32" t="n"/>
      <c r="E40" s="32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32" t="n"/>
      <c r="O40" s="10" t="n"/>
      <c r="P40" s="16">
        <f>IF(A40="","",IF(OR(COUNTIF($A$8:$A$207,A40)&lt;&gt;1,COUNTIF('公司'!$A$8:$A$207,C40)&lt;&gt;1,AND(D40&lt;&gt;"",COUNTIF('联系人'!$A$8:$A$207,D40)&lt;&gt;1),AND(E40&lt;&gt;"",COUNTIF('用胶项目'!$A$8:$A$207,E40)&lt;&gt;1),AND(N40&lt;&gt;"",COUNTIF('跟进待办'!$A$8:$A$207,N40)&lt;&gt;1)),"检查编号或关联","正常"))</f>
        <v/>
      </c>
    </row>
    <row r="41" ht="34" customHeight="1">
      <c r="A41" s="32" t="n"/>
      <c r="B41" s="33" t="n"/>
      <c r="C41" s="32" t="n"/>
      <c r="D41" s="32" t="n"/>
      <c r="E41" s="32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32" t="n"/>
      <c r="O41" s="10" t="n"/>
      <c r="P41" s="16">
        <f>IF(A41="","",IF(OR(COUNTIF($A$8:$A$207,A41)&lt;&gt;1,COUNTIF('公司'!$A$8:$A$207,C41)&lt;&gt;1,AND(D41&lt;&gt;"",COUNTIF('联系人'!$A$8:$A$207,D41)&lt;&gt;1),AND(E41&lt;&gt;"",COUNTIF('用胶项目'!$A$8:$A$207,E41)&lt;&gt;1),AND(N41&lt;&gt;"",COUNTIF('跟进待办'!$A$8:$A$207,N41)&lt;&gt;1)),"检查编号或关联","正常"))</f>
        <v/>
      </c>
    </row>
    <row r="42" ht="34" customHeight="1">
      <c r="A42" s="32" t="n"/>
      <c r="B42" s="33" t="n"/>
      <c r="C42" s="32" t="n"/>
      <c r="D42" s="32" t="n"/>
      <c r="E42" s="32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32" t="n"/>
      <c r="O42" s="10" t="n"/>
      <c r="P42" s="16">
        <f>IF(A42="","",IF(OR(COUNTIF($A$8:$A$207,A42)&lt;&gt;1,COUNTIF('公司'!$A$8:$A$207,C42)&lt;&gt;1,AND(D42&lt;&gt;"",COUNTIF('联系人'!$A$8:$A$207,D42)&lt;&gt;1),AND(E42&lt;&gt;"",COUNTIF('用胶项目'!$A$8:$A$207,E42)&lt;&gt;1),AND(N42&lt;&gt;"",COUNTIF('跟进待办'!$A$8:$A$207,N42)&lt;&gt;1)),"检查编号或关联","正常"))</f>
        <v/>
      </c>
    </row>
    <row r="43" ht="34" customHeight="1">
      <c r="A43" s="32" t="n"/>
      <c r="B43" s="33" t="n"/>
      <c r="C43" s="32" t="n"/>
      <c r="D43" s="32" t="n"/>
      <c r="E43" s="32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32" t="n"/>
      <c r="O43" s="10" t="n"/>
      <c r="P43" s="16">
        <f>IF(A43="","",IF(OR(COUNTIF($A$8:$A$207,A43)&lt;&gt;1,COUNTIF('公司'!$A$8:$A$207,C43)&lt;&gt;1,AND(D43&lt;&gt;"",COUNTIF('联系人'!$A$8:$A$207,D43)&lt;&gt;1),AND(E43&lt;&gt;"",COUNTIF('用胶项目'!$A$8:$A$207,E43)&lt;&gt;1),AND(N43&lt;&gt;"",COUNTIF('跟进待办'!$A$8:$A$207,N43)&lt;&gt;1)),"检查编号或关联","正常"))</f>
        <v/>
      </c>
    </row>
    <row r="44" ht="34" customHeight="1">
      <c r="A44" s="32" t="n"/>
      <c r="B44" s="33" t="n"/>
      <c r="C44" s="32" t="n"/>
      <c r="D44" s="32" t="n"/>
      <c r="E44" s="32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32" t="n"/>
      <c r="O44" s="10" t="n"/>
      <c r="P44" s="16">
        <f>IF(A44="","",IF(OR(COUNTIF($A$8:$A$207,A44)&lt;&gt;1,COUNTIF('公司'!$A$8:$A$207,C44)&lt;&gt;1,AND(D44&lt;&gt;"",COUNTIF('联系人'!$A$8:$A$207,D44)&lt;&gt;1),AND(E44&lt;&gt;"",COUNTIF('用胶项目'!$A$8:$A$207,E44)&lt;&gt;1),AND(N44&lt;&gt;"",COUNTIF('跟进待办'!$A$8:$A$207,N44)&lt;&gt;1)),"检查编号或关联","正常"))</f>
        <v/>
      </c>
    </row>
    <row r="45" ht="34" customHeight="1">
      <c r="A45" s="32" t="n"/>
      <c r="B45" s="33" t="n"/>
      <c r="C45" s="32" t="n"/>
      <c r="D45" s="32" t="n"/>
      <c r="E45" s="32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32" t="n"/>
      <c r="O45" s="10" t="n"/>
      <c r="P45" s="16">
        <f>IF(A45="","",IF(OR(COUNTIF($A$8:$A$207,A45)&lt;&gt;1,COUNTIF('公司'!$A$8:$A$207,C45)&lt;&gt;1,AND(D45&lt;&gt;"",COUNTIF('联系人'!$A$8:$A$207,D45)&lt;&gt;1),AND(E45&lt;&gt;"",COUNTIF('用胶项目'!$A$8:$A$207,E45)&lt;&gt;1),AND(N45&lt;&gt;"",COUNTIF('跟进待办'!$A$8:$A$207,N45)&lt;&gt;1)),"检查编号或关联","正常"))</f>
        <v/>
      </c>
    </row>
    <row r="46" ht="34" customHeight="1">
      <c r="A46" s="32" t="n"/>
      <c r="B46" s="33" t="n"/>
      <c r="C46" s="32" t="n"/>
      <c r="D46" s="32" t="n"/>
      <c r="E46" s="32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32" t="n"/>
      <c r="O46" s="10" t="n"/>
      <c r="P46" s="16">
        <f>IF(A46="","",IF(OR(COUNTIF($A$8:$A$207,A46)&lt;&gt;1,COUNTIF('公司'!$A$8:$A$207,C46)&lt;&gt;1,AND(D46&lt;&gt;"",COUNTIF('联系人'!$A$8:$A$207,D46)&lt;&gt;1),AND(E46&lt;&gt;"",COUNTIF('用胶项目'!$A$8:$A$207,E46)&lt;&gt;1),AND(N46&lt;&gt;"",COUNTIF('跟进待办'!$A$8:$A$207,N46)&lt;&gt;1)),"检查编号或关联","正常"))</f>
        <v/>
      </c>
    </row>
    <row r="47" ht="34" customHeight="1">
      <c r="A47" s="32" t="n"/>
      <c r="B47" s="33" t="n"/>
      <c r="C47" s="32" t="n"/>
      <c r="D47" s="32" t="n"/>
      <c r="E47" s="32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32" t="n"/>
      <c r="O47" s="10" t="n"/>
      <c r="P47" s="16">
        <f>IF(A47="","",IF(OR(COUNTIF($A$8:$A$207,A47)&lt;&gt;1,COUNTIF('公司'!$A$8:$A$207,C47)&lt;&gt;1,AND(D47&lt;&gt;"",COUNTIF('联系人'!$A$8:$A$207,D47)&lt;&gt;1),AND(E47&lt;&gt;"",COUNTIF('用胶项目'!$A$8:$A$207,E47)&lt;&gt;1),AND(N47&lt;&gt;"",COUNTIF('跟进待办'!$A$8:$A$207,N47)&lt;&gt;1)),"检查编号或关联","正常"))</f>
        <v/>
      </c>
    </row>
    <row r="48" ht="34" customHeight="1">
      <c r="A48" s="32" t="n"/>
      <c r="B48" s="33" t="n"/>
      <c r="C48" s="32" t="n"/>
      <c r="D48" s="32" t="n"/>
      <c r="E48" s="32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32" t="n"/>
      <c r="O48" s="10" t="n"/>
      <c r="P48" s="16">
        <f>IF(A48="","",IF(OR(COUNTIF($A$8:$A$207,A48)&lt;&gt;1,COUNTIF('公司'!$A$8:$A$207,C48)&lt;&gt;1,AND(D48&lt;&gt;"",COUNTIF('联系人'!$A$8:$A$207,D48)&lt;&gt;1),AND(E48&lt;&gt;"",COUNTIF('用胶项目'!$A$8:$A$207,E48)&lt;&gt;1),AND(N48&lt;&gt;"",COUNTIF('跟进待办'!$A$8:$A$207,N48)&lt;&gt;1)),"检查编号或关联","正常"))</f>
        <v/>
      </c>
    </row>
    <row r="49" ht="34" customHeight="1">
      <c r="A49" s="32" t="n"/>
      <c r="B49" s="33" t="n"/>
      <c r="C49" s="32" t="n"/>
      <c r="D49" s="32" t="n"/>
      <c r="E49" s="32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32" t="n"/>
      <c r="O49" s="10" t="n"/>
      <c r="P49" s="16">
        <f>IF(A49="","",IF(OR(COUNTIF($A$8:$A$207,A49)&lt;&gt;1,COUNTIF('公司'!$A$8:$A$207,C49)&lt;&gt;1,AND(D49&lt;&gt;"",COUNTIF('联系人'!$A$8:$A$207,D49)&lt;&gt;1),AND(E49&lt;&gt;"",COUNTIF('用胶项目'!$A$8:$A$207,E49)&lt;&gt;1),AND(N49&lt;&gt;"",COUNTIF('跟进待办'!$A$8:$A$207,N49)&lt;&gt;1)),"检查编号或关联","正常"))</f>
        <v/>
      </c>
    </row>
    <row r="50" ht="34" customHeight="1">
      <c r="A50" s="32" t="n"/>
      <c r="B50" s="33" t="n"/>
      <c r="C50" s="32" t="n"/>
      <c r="D50" s="32" t="n"/>
      <c r="E50" s="32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32" t="n"/>
      <c r="O50" s="10" t="n"/>
      <c r="P50" s="16">
        <f>IF(A50="","",IF(OR(COUNTIF($A$8:$A$207,A50)&lt;&gt;1,COUNTIF('公司'!$A$8:$A$207,C50)&lt;&gt;1,AND(D50&lt;&gt;"",COUNTIF('联系人'!$A$8:$A$207,D50)&lt;&gt;1),AND(E50&lt;&gt;"",COUNTIF('用胶项目'!$A$8:$A$207,E50)&lt;&gt;1),AND(N50&lt;&gt;"",COUNTIF('跟进待办'!$A$8:$A$207,N50)&lt;&gt;1)),"检查编号或关联","正常"))</f>
        <v/>
      </c>
    </row>
    <row r="51" ht="34" customHeight="1">
      <c r="A51" s="32" t="n"/>
      <c r="B51" s="33" t="n"/>
      <c r="C51" s="32" t="n"/>
      <c r="D51" s="32" t="n"/>
      <c r="E51" s="32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32" t="n"/>
      <c r="O51" s="10" t="n"/>
      <c r="P51" s="16">
        <f>IF(A51="","",IF(OR(COUNTIF($A$8:$A$207,A51)&lt;&gt;1,COUNTIF('公司'!$A$8:$A$207,C51)&lt;&gt;1,AND(D51&lt;&gt;"",COUNTIF('联系人'!$A$8:$A$207,D51)&lt;&gt;1),AND(E51&lt;&gt;"",COUNTIF('用胶项目'!$A$8:$A$207,E51)&lt;&gt;1),AND(N51&lt;&gt;"",COUNTIF('跟进待办'!$A$8:$A$207,N51)&lt;&gt;1)),"检查编号或关联","正常"))</f>
        <v/>
      </c>
    </row>
    <row r="52" ht="34" customHeight="1">
      <c r="A52" s="32" t="n"/>
      <c r="B52" s="33" t="n"/>
      <c r="C52" s="32" t="n"/>
      <c r="D52" s="32" t="n"/>
      <c r="E52" s="32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32" t="n"/>
      <c r="O52" s="10" t="n"/>
      <c r="P52" s="16">
        <f>IF(A52="","",IF(OR(COUNTIF($A$8:$A$207,A52)&lt;&gt;1,COUNTIF('公司'!$A$8:$A$207,C52)&lt;&gt;1,AND(D52&lt;&gt;"",COUNTIF('联系人'!$A$8:$A$207,D52)&lt;&gt;1),AND(E52&lt;&gt;"",COUNTIF('用胶项目'!$A$8:$A$207,E52)&lt;&gt;1),AND(N52&lt;&gt;"",COUNTIF('跟进待办'!$A$8:$A$207,N52)&lt;&gt;1)),"检查编号或关联","正常"))</f>
        <v/>
      </c>
    </row>
    <row r="53" ht="34" customHeight="1">
      <c r="A53" s="32" t="n"/>
      <c r="B53" s="33" t="n"/>
      <c r="C53" s="32" t="n"/>
      <c r="D53" s="32" t="n"/>
      <c r="E53" s="32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32" t="n"/>
      <c r="O53" s="10" t="n"/>
      <c r="P53" s="16">
        <f>IF(A53="","",IF(OR(COUNTIF($A$8:$A$207,A53)&lt;&gt;1,COUNTIF('公司'!$A$8:$A$207,C53)&lt;&gt;1,AND(D53&lt;&gt;"",COUNTIF('联系人'!$A$8:$A$207,D53)&lt;&gt;1),AND(E53&lt;&gt;"",COUNTIF('用胶项目'!$A$8:$A$207,E53)&lt;&gt;1),AND(N53&lt;&gt;"",COUNTIF('跟进待办'!$A$8:$A$207,N53)&lt;&gt;1)),"检查编号或关联","正常"))</f>
        <v/>
      </c>
    </row>
    <row r="54" ht="34" customHeight="1">
      <c r="A54" s="32" t="n"/>
      <c r="B54" s="33" t="n"/>
      <c r="C54" s="32" t="n"/>
      <c r="D54" s="32" t="n"/>
      <c r="E54" s="32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32" t="n"/>
      <c r="O54" s="10" t="n"/>
      <c r="P54" s="16">
        <f>IF(A54="","",IF(OR(COUNTIF($A$8:$A$207,A54)&lt;&gt;1,COUNTIF('公司'!$A$8:$A$207,C54)&lt;&gt;1,AND(D54&lt;&gt;"",COUNTIF('联系人'!$A$8:$A$207,D54)&lt;&gt;1),AND(E54&lt;&gt;"",COUNTIF('用胶项目'!$A$8:$A$207,E54)&lt;&gt;1),AND(N54&lt;&gt;"",COUNTIF('跟进待办'!$A$8:$A$207,N54)&lt;&gt;1)),"检查编号或关联","正常"))</f>
        <v/>
      </c>
    </row>
    <row r="55" ht="34" customHeight="1">
      <c r="A55" s="32" t="n"/>
      <c r="B55" s="33" t="n"/>
      <c r="C55" s="32" t="n"/>
      <c r="D55" s="32" t="n"/>
      <c r="E55" s="32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32" t="n"/>
      <c r="O55" s="10" t="n"/>
      <c r="P55" s="16">
        <f>IF(A55="","",IF(OR(COUNTIF($A$8:$A$207,A55)&lt;&gt;1,COUNTIF('公司'!$A$8:$A$207,C55)&lt;&gt;1,AND(D55&lt;&gt;"",COUNTIF('联系人'!$A$8:$A$207,D55)&lt;&gt;1),AND(E55&lt;&gt;"",COUNTIF('用胶项目'!$A$8:$A$207,E55)&lt;&gt;1),AND(N55&lt;&gt;"",COUNTIF('跟进待办'!$A$8:$A$207,N55)&lt;&gt;1)),"检查编号或关联","正常"))</f>
        <v/>
      </c>
    </row>
    <row r="56" ht="34" customHeight="1">
      <c r="A56" s="32" t="n"/>
      <c r="B56" s="33" t="n"/>
      <c r="C56" s="32" t="n"/>
      <c r="D56" s="32" t="n"/>
      <c r="E56" s="32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32" t="n"/>
      <c r="O56" s="10" t="n"/>
      <c r="P56" s="16">
        <f>IF(A56="","",IF(OR(COUNTIF($A$8:$A$207,A56)&lt;&gt;1,COUNTIF('公司'!$A$8:$A$207,C56)&lt;&gt;1,AND(D56&lt;&gt;"",COUNTIF('联系人'!$A$8:$A$207,D56)&lt;&gt;1),AND(E56&lt;&gt;"",COUNTIF('用胶项目'!$A$8:$A$207,E56)&lt;&gt;1),AND(N56&lt;&gt;"",COUNTIF('跟进待办'!$A$8:$A$207,N56)&lt;&gt;1)),"检查编号或关联","正常"))</f>
        <v/>
      </c>
    </row>
    <row r="57" ht="34" customHeight="1">
      <c r="A57" s="32" t="n"/>
      <c r="B57" s="33" t="n"/>
      <c r="C57" s="32" t="n"/>
      <c r="D57" s="32" t="n"/>
      <c r="E57" s="32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32" t="n"/>
      <c r="O57" s="10" t="n"/>
      <c r="P57" s="16">
        <f>IF(A57="","",IF(OR(COUNTIF($A$8:$A$207,A57)&lt;&gt;1,COUNTIF('公司'!$A$8:$A$207,C57)&lt;&gt;1,AND(D57&lt;&gt;"",COUNTIF('联系人'!$A$8:$A$207,D57)&lt;&gt;1),AND(E57&lt;&gt;"",COUNTIF('用胶项目'!$A$8:$A$207,E57)&lt;&gt;1),AND(N57&lt;&gt;"",COUNTIF('跟进待办'!$A$8:$A$207,N57)&lt;&gt;1)),"检查编号或关联","正常"))</f>
        <v/>
      </c>
    </row>
    <row r="58" ht="34" customHeight="1">
      <c r="A58" s="32" t="n"/>
      <c r="B58" s="33" t="n"/>
      <c r="C58" s="32" t="n"/>
      <c r="D58" s="32" t="n"/>
      <c r="E58" s="32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32" t="n"/>
      <c r="O58" s="10" t="n"/>
      <c r="P58" s="16">
        <f>IF(A58="","",IF(OR(COUNTIF($A$8:$A$207,A58)&lt;&gt;1,COUNTIF('公司'!$A$8:$A$207,C58)&lt;&gt;1,AND(D58&lt;&gt;"",COUNTIF('联系人'!$A$8:$A$207,D58)&lt;&gt;1),AND(E58&lt;&gt;"",COUNTIF('用胶项目'!$A$8:$A$207,E58)&lt;&gt;1),AND(N58&lt;&gt;"",COUNTIF('跟进待办'!$A$8:$A$207,N58)&lt;&gt;1)),"检查编号或关联","正常"))</f>
        <v/>
      </c>
    </row>
    <row r="59" ht="34" customHeight="1">
      <c r="A59" s="32" t="n"/>
      <c r="B59" s="33" t="n"/>
      <c r="C59" s="32" t="n"/>
      <c r="D59" s="32" t="n"/>
      <c r="E59" s="32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32" t="n"/>
      <c r="O59" s="10" t="n"/>
      <c r="P59" s="16">
        <f>IF(A59="","",IF(OR(COUNTIF($A$8:$A$207,A59)&lt;&gt;1,COUNTIF('公司'!$A$8:$A$207,C59)&lt;&gt;1,AND(D59&lt;&gt;"",COUNTIF('联系人'!$A$8:$A$207,D59)&lt;&gt;1),AND(E59&lt;&gt;"",COUNTIF('用胶项目'!$A$8:$A$207,E59)&lt;&gt;1),AND(N59&lt;&gt;"",COUNTIF('跟进待办'!$A$8:$A$207,N59)&lt;&gt;1)),"检查编号或关联","正常"))</f>
        <v/>
      </c>
    </row>
    <row r="60" ht="34" customHeight="1">
      <c r="A60" s="32" t="n"/>
      <c r="B60" s="33" t="n"/>
      <c r="C60" s="32" t="n"/>
      <c r="D60" s="32" t="n"/>
      <c r="E60" s="32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32" t="n"/>
      <c r="O60" s="10" t="n"/>
      <c r="P60" s="16">
        <f>IF(A60="","",IF(OR(COUNTIF($A$8:$A$207,A60)&lt;&gt;1,COUNTIF('公司'!$A$8:$A$207,C60)&lt;&gt;1,AND(D60&lt;&gt;"",COUNTIF('联系人'!$A$8:$A$207,D60)&lt;&gt;1),AND(E60&lt;&gt;"",COUNTIF('用胶项目'!$A$8:$A$207,E60)&lt;&gt;1),AND(N60&lt;&gt;"",COUNTIF('跟进待办'!$A$8:$A$207,N60)&lt;&gt;1)),"检查编号或关联","正常"))</f>
        <v/>
      </c>
    </row>
    <row r="61" ht="34" customHeight="1">
      <c r="A61" s="32" t="n"/>
      <c r="B61" s="33" t="n"/>
      <c r="C61" s="32" t="n"/>
      <c r="D61" s="32" t="n"/>
      <c r="E61" s="32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32" t="n"/>
      <c r="O61" s="10" t="n"/>
      <c r="P61" s="16">
        <f>IF(A61="","",IF(OR(COUNTIF($A$8:$A$207,A61)&lt;&gt;1,COUNTIF('公司'!$A$8:$A$207,C61)&lt;&gt;1,AND(D61&lt;&gt;"",COUNTIF('联系人'!$A$8:$A$207,D61)&lt;&gt;1),AND(E61&lt;&gt;"",COUNTIF('用胶项目'!$A$8:$A$207,E61)&lt;&gt;1),AND(N61&lt;&gt;"",COUNTIF('跟进待办'!$A$8:$A$207,N61)&lt;&gt;1)),"检查编号或关联","正常"))</f>
        <v/>
      </c>
    </row>
    <row r="62" ht="34" customHeight="1">
      <c r="A62" s="32" t="n"/>
      <c r="B62" s="33" t="n"/>
      <c r="C62" s="32" t="n"/>
      <c r="D62" s="32" t="n"/>
      <c r="E62" s="32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32" t="n"/>
      <c r="O62" s="10" t="n"/>
      <c r="P62" s="16">
        <f>IF(A62="","",IF(OR(COUNTIF($A$8:$A$207,A62)&lt;&gt;1,COUNTIF('公司'!$A$8:$A$207,C62)&lt;&gt;1,AND(D62&lt;&gt;"",COUNTIF('联系人'!$A$8:$A$207,D62)&lt;&gt;1),AND(E62&lt;&gt;"",COUNTIF('用胶项目'!$A$8:$A$207,E62)&lt;&gt;1),AND(N62&lt;&gt;"",COUNTIF('跟进待办'!$A$8:$A$207,N62)&lt;&gt;1)),"检查编号或关联","正常"))</f>
        <v/>
      </c>
    </row>
    <row r="63" ht="34" customHeight="1">
      <c r="A63" s="32" t="n"/>
      <c r="B63" s="33" t="n"/>
      <c r="C63" s="32" t="n"/>
      <c r="D63" s="32" t="n"/>
      <c r="E63" s="32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32" t="n"/>
      <c r="O63" s="10" t="n"/>
      <c r="P63" s="16">
        <f>IF(A63="","",IF(OR(COUNTIF($A$8:$A$207,A63)&lt;&gt;1,COUNTIF('公司'!$A$8:$A$207,C63)&lt;&gt;1,AND(D63&lt;&gt;"",COUNTIF('联系人'!$A$8:$A$207,D63)&lt;&gt;1),AND(E63&lt;&gt;"",COUNTIF('用胶项目'!$A$8:$A$207,E63)&lt;&gt;1),AND(N63&lt;&gt;"",COUNTIF('跟进待办'!$A$8:$A$207,N63)&lt;&gt;1)),"检查编号或关联","正常"))</f>
        <v/>
      </c>
    </row>
    <row r="64" ht="34" customHeight="1">
      <c r="A64" s="32" t="n"/>
      <c r="B64" s="33" t="n"/>
      <c r="C64" s="32" t="n"/>
      <c r="D64" s="32" t="n"/>
      <c r="E64" s="32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32" t="n"/>
      <c r="O64" s="10" t="n"/>
      <c r="P64" s="16">
        <f>IF(A64="","",IF(OR(COUNTIF($A$8:$A$207,A64)&lt;&gt;1,COUNTIF('公司'!$A$8:$A$207,C64)&lt;&gt;1,AND(D64&lt;&gt;"",COUNTIF('联系人'!$A$8:$A$207,D64)&lt;&gt;1),AND(E64&lt;&gt;"",COUNTIF('用胶项目'!$A$8:$A$207,E64)&lt;&gt;1),AND(N64&lt;&gt;"",COUNTIF('跟进待办'!$A$8:$A$207,N64)&lt;&gt;1)),"检查编号或关联","正常"))</f>
        <v/>
      </c>
    </row>
    <row r="65" ht="34" customHeight="1">
      <c r="A65" s="32" t="n"/>
      <c r="B65" s="33" t="n"/>
      <c r="C65" s="32" t="n"/>
      <c r="D65" s="32" t="n"/>
      <c r="E65" s="32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32" t="n"/>
      <c r="O65" s="10" t="n"/>
      <c r="P65" s="16">
        <f>IF(A65="","",IF(OR(COUNTIF($A$8:$A$207,A65)&lt;&gt;1,COUNTIF('公司'!$A$8:$A$207,C65)&lt;&gt;1,AND(D65&lt;&gt;"",COUNTIF('联系人'!$A$8:$A$207,D65)&lt;&gt;1),AND(E65&lt;&gt;"",COUNTIF('用胶项目'!$A$8:$A$207,E65)&lt;&gt;1),AND(N65&lt;&gt;"",COUNTIF('跟进待办'!$A$8:$A$207,N65)&lt;&gt;1)),"检查编号或关联","正常"))</f>
        <v/>
      </c>
    </row>
    <row r="66" ht="34" customHeight="1">
      <c r="A66" s="32" t="n"/>
      <c r="B66" s="33" t="n"/>
      <c r="C66" s="32" t="n"/>
      <c r="D66" s="32" t="n"/>
      <c r="E66" s="32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32" t="n"/>
      <c r="O66" s="10" t="n"/>
      <c r="P66" s="16">
        <f>IF(A66="","",IF(OR(COUNTIF($A$8:$A$207,A66)&lt;&gt;1,COUNTIF('公司'!$A$8:$A$207,C66)&lt;&gt;1,AND(D66&lt;&gt;"",COUNTIF('联系人'!$A$8:$A$207,D66)&lt;&gt;1),AND(E66&lt;&gt;"",COUNTIF('用胶项目'!$A$8:$A$207,E66)&lt;&gt;1),AND(N66&lt;&gt;"",COUNTIF('跟进待办'!$A$8:$A$207,N66)&lt;&gt;1)),"检查编号或关联","正常"))</f>
        <v/>
      </c>
    </row>
    <row r="67" ht="34" customHeight="1">
      <c r="A67" s="32" t="n"/>
      <c r="B67" s="33" t="n"/>
      <c r="C67" s="32" t="n"/>
      <c r="D67" s="32" t="n"/>
      <c r="E67" s="32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32" t="n"/>
      <c r="O67" s="10" t="n"/>
      <c r="P67" s="16">
        <f>IF(A67="","",IF(OR(COUNTIF($A$8:$A$207,A67)&lt;&gt;1,COUNTIF('公司'!$A$8:$A$207,C67)&lt;&gt;1,AND(D67&lt;&gt;"",COUNTIF('联系人'!$A$8:$A$207,D67)&lt;&gt;1),AND(E67&lt;&gt;"",COUNTIF('用胶项目'!$A$8:$A$207,E67)&lt;&gt;1),AND(N67&lt;&gt;"",COUNTIF('跟进待办'!$A$8:$A$207,N67)&lt;&gt;1)),"检查编号或关联","正常"))</f>
        <v/>
      </c>
    </row>
    <row r="68" ht="34" customHeight="1">
      <c r="A68" s="32" t="n"/>
      <c r="B68" s="33" t="n"/>
      <c r="C68" s="32" t="n"/>
      <c r="D68" s="32" t="n"/>
      <c r="E68" s="32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32" t="n"/>
      <c r="O68" s="10" t="n"/>
      <c r="P68" s="16">
        <f>IF(A68="","",IF(OR(COUNTIF($A$8:$A$207,A68)&lt;&gt;1,COUNTIF('公司'!$A$8:$A$207,C68)&lt;&gt;1,AND(D68&lt;&gt;"",COUNTIF('联系人'!$A$8:$A$207,D68)&lt;&gt;1),AND(E68&lt;&gt;"",COUNTIF('用胶项目'!$A$8:$A$207,E68)&lt;&gt;1),AND(N68&lt;&gt;"",COUNTIF('跟进待办'!$A$8:$A$207,N68)&lt;&gt;1)),"检查编号或关联","正常"))</f>
        <v/>
      </c>
    </row>
    <row r="69" ht="34" customHeight="1">
      <c r="A69" s="32" t="n"/>
      <c r="B69" s="33" t="n"/>
      <c r="C69" s="32" t="n"/>
      <c r="D69" s="32" t="n"/>
      <c r="E69" s="32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32" t="n"/>
      <c r="O69" s="10" t="n"/>
      <c r="P69" s="16">
        <f>IF(A69="","",IF(OR(COUNTIF($A$8:$A$207,A69)&lt;&gt;1,COUNTIF('公司'!$A$8:$A$207,C69)&lt;&gt;1,AND(D69&lt;&gt;"",COUNTIF('联系人'!$A$8:$A$207,D69)&lt;&gt;1),AND(E69&lt;&gt;"",COUNTIF('用胶项目'!$A$8:$A$207,E69)&lt;&gt;1),AND(N69&lt;&gt;"",COUNTIF('跟进待办'!$A$8:$A$207,N69)&lt;&gt;1)),"检查编号或关联","正常"))</f>
        <v/>
      </c>
    </row>
    <row r="70" ht="34" customHeight="1">
      <c r="A70" s="32" t="n"/>
      <c r="B70" s="33" t="n"/>
      <c r="C70" s="32" t="n"/>
      <c r="D70" s="32" t="n"/>
      <c r="E70" s="32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32" t="n"/>
      <c r="O70" s="10" t="n"/>
      <c r="P70" s="16">
        <f>IF(A70="","",IF(OR(COUNTIF($A$8:$A$207,A70)&lt;&gt;1,COUNTIF('公司'!$A$8:$A$207,C70)&lt;&gt;1,AND(D70&lt;&gt;"",COUNTIF('联系人'!$A$8:$A$207,D70)&lt;&gt;1),AND(E70&lt;&gt;"",COUNTIF('用胶项目'!$A$8:$A$207,E70)&lt;&gt;1),AND(N70&lt;&gt;"",COUNTIF('跟进待办'!$A$8:$A$207,N70)&lt;&gt;1)),"检查编号或关联","正常"))</f>
        <v/>
      </c>
    </row>
    <row r="71" ht="34" customHeight="1">
      <c r="A71" s="32" t="n"/>
      <c r="B71" s="33" t="n"/>
      <c r="C71" s="32" t="n"/>
      <c r="D71" s="32" t="n"/>
      <c r="E71" s="32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32" t="n"/>
      <c r="O71" s="10" t="n"/>
      <c r="P71" s="16">
        <f>IF(A71="","",IF(OR(COUNTIF($A$8:$A$207,A71)&lt;&gt;1,COUNTIF('公司'!$A$8:$A$207,C71)&lt;&gt;1,AND(D71&lt;&gt;"",COUNTIF('联系人'!$A$8:$A$207,D71)&lt;&gt;1),AND(E71&lt;&gt;"",COUNTIF('用胶项目'!$A$8:$A$207,E71)&lt;&gt;1),AND(N71&lt;&gt;"",COUNTIF('跟进待办'!$A$8:$A$207,N71)&lt;&gt;1)),"检查编号或关联","正常"))</f>
        <v/>
      </c>
    </row>
    <row r="72" ht="34" customHeight="1">
      <c r="A72" s="32" t="n"/>
      <c r="B72" s="33" t="n"/>
      <c r="C72" s="32" t="n"/>
      <c r="D72" s="32" t="n"/>
      <c r="E72" s="32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32" t="n"/>
      <c r="O72" s="10" t="n"/>
      <c r="P72" s="16">
        <f>IF(A72="","",IF(OR(COUNTIF($A$8:$A$207,A72)&lt;&gt;1,COUNTIF('公司'!$A$8:$A$207,C72)&lt;&gt;1,AND(D72&lt;&gt;"",COUNTIF('联系人'!$A$8:$A$207,D72)&lt;&gt;1),AND(E72&lt;&gt;"",COUNTIF('用胶项目'!$A$8:$A$207,E72)&lt;&gt;1),AND(N72&lt;&gt;"",COUNTIF('跟进待办'!$A$8:$A$207,N72)&lt;&gt;1)),"检查编号或关联","正常"))</f>
        <v/>
      </c>
    </row>
    <row r="73" ht="34" customHeight="1">
      <c r="A73" s="32" t="n"/>
      <c r="B73" s="33" t="n"/>
      <c r="C73" s="32" t="n"/>
      <c r="D73" s="32" t="n"/>
      <c r="E73" s="32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32" t="n"/>
      <c r="O73" s="10" t="n"/>
      <c r="P73" s="16">
        <f>IF(A73="","",IF(OR(COUNTIF($A$8:$A$207,A73)&lt;&gt;1,COUNTIF('公司'!$A$8:$A$207,C73)&lt;&gt;1,AND(D73&lt;&gt;"",COUNTIF('联系人'!$A$8:$A$207,D73)&lt;&gt;1),AND(E73&lt;&gt;"",COUNTIF('用胶项目'!$A$8:$A$207,E73)&lt;&gt;1),AND(N73&lt;&gt;"",COUNTIF('跟进待办'!$A$8:$A$207,N73)&lt;&gt;1)),"检查编号或关联","正常"))</f>
        <v/>
      </c>
    </row>
    <row r="74" ht="34" customHeight="1">
      <c r="A74" s="32" t="n"/>
      <c r="B74" s="33" t="n"/>
      <c r="C74" s="32" t="n"/>
      <c r="D74" s="32" t="n"/>
      <c r="E74" s="32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32" t="n"/>
      <c r="O74" s="10" t="n"/>
      <c r="P74" s="16">
        <f>IF(A74="","",IF(OR(COUNTIF($A$8:$A$207,A74)&lt;&gt;1,COUNTIF('公司'!$A$8:$A$207,C74)&lt;&gt;1,AND(D74&lt;&gt;"",COUNTIF('联系人'!$A$8:$A$207,D74)&lt;&gt;1),AND(E74&lt;&gt;"",COUNTIF('用胶项目'!$A$8:$A$207,E74)&lt;&gt;1),AND(N74&lt;&gt;"",COUNTIF('跟进待办'!$A$8:$A$207,N74)&lt;&gt;1)),"检查编号或关联","正常"))</f>
        <v/>
      </c>
    </row>
    <row r="75" ht="34" customHeight="1">
      <c r="A75" s="32" t="n"/>
      <c r="B75" s="33" t="n"/>
      <c r="C75" s="32" t="n"/>
      <c r="D75" s="32" t="n"/>
      <c r="E75" s="32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32" t="n"/>
      <c r="O75" s="10" t="n"/>
      <c r="P75" s="16">
        <f>IF(A75="","",IF(OR(COUNTIF($A$8:$A$207,A75)&lt;&gt;1,COUNTIF('公司'!$A$8:$A$207,C75)&lt;&gt;1,AND(D75&lt;&gt;"",COUNTIF('联系人'!$A$8:$A$207,D75)&lt;&gt;1),AND(E75&lt;&gt;"",COUNTIF('用胶项目'!$A$8:$A$207,E75)&lt;&gt;1),AND(N75&lt;&gt;"",COUNTIF('跟进待办'!$A$8:$A$207,N75)&lt;&gt;1)),"检查编号或关联","正常"))</f>
        <v/>
      </c>
    </row>
    <row r="76" ht="34" customHeight="1">
      <c r="A76" s="32" t="n"/>
      <c r="B76" s="33" t="n"/>
      <c r="C76" s="32" t="n"/>
      <c r="D76" s="32" t="n"/>
      <c r="E76" s="32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32" t="n"/>
      <c r="O76" s="10" t="n"/>
      <c r="P76" s="16">
        <f>IF(A76="","",IF(OR(COUNTIF($A$8:$A$207,A76)&lt;&gt;1,COUNTIF('公司'!$A$8:$A$207,C76)&lt;&gt;1,AND(D76&lt;&gt;"",COUNTIF('联系人'!$A$8:$A$207,D76)&lt;&gt;1),AND(E76&lt;&gt;"",COUNTIF('用胶项目'!$A$8:$A$207,E76)&lt;&gt;1),AND(N76&lt;&gt;"",COUNTIF('跟进待办'!$A$8:$A$207,N76)&lt;&gt;1)),"检查编号或关联","正常"))</f>
        <v/>
      </c>
    </row>
    <row r="77" ht="34" customHeight="1">
      <c r="A77" s="32" t="n"/>
      <c r="B77" s="33" t="n"/>
      <c r="C77" s="32" t="n"/>
      <c r="D77" s="32" t="n"/>
      <c r="E77" s="32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32" t="n"/>
      <c r="O77" s="10" t="n"/>
      <c r="P77" s="16">
        <f>IF(A77="","",IF(OR(COUNTIF($A$8:$A$207,A77)&lt;&gt;1,COUNTIF('公司'!$A$8:$A$207,C77)&lt;&gt;1,AND(D77&lt;&gt;"",COUNTIF('联系人'!$A$8:$A$207,D77)&lt;&gt;1),AND(E77&lt;&gt;"",COUNTIF('用胶项目'!$A$8:$A$207,E77)&lt;&gt;1),AND(N77&lt;&gt;"",COUNTIF('跟进待办'!$A$8:$A$207,N77)&lt;&gt;1)),"检查编号或关联","正常"))</f>
        <v/>
      </c>
    </row>
    <row r="78" ht="34" customHeight="1">
      <c r="A78" s="32" t="n"/>
      <c r="B78" s="33" t="n"/>
      <c r="C78" s="32" t="n"/>
      <c r="D78" s="32" t="n"/>
      <c r="E78" s="32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32" t="n"/>
      <c r="O78" s="10" t="n"/>
      <c r="P78" s="16">
        <f>IF(A78="","",IF(OR(COUNTIF($A$8:$A$207,A78)&lt;&gt;1,COUNTIF('公司'!$A$8:$A$207,C78)&lt;&gt;1,AND(D78&lt;&gt;"",COUNTIF('联系人'!$A$8:$A$207,D78)&lt;&gt;1),AND(E78&lt;&gt;"",COUNTIF('用胶项目'!$A$8:$A$207,E78)&lt;&gt;1),AND(N78&lt;&gt;"",COUNTIF('跟进待办'!$A$8:$A$207,N78)&lt;&gt;1)),"检查编号或关联","正常"))</f>
        <v/>
      </c>
    </row>
    <row r="79" ht="34" customHeight="1">
      <c r="A79" s="32" t="n"/>
      <c r="B79" s="33" t="n"/>
      <c r="C79" s="32" t="n"/>
      <c r="D79" s="32" t="n"/>
      <c r="E79" s="32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32" t="n"/>
      <c r="O79" s="10" t="n"/>
      <c r="P79" s="16">
        <f>IF(A79="","",IF(OR(COUNTIF($A$8:$A$207,A79)&lt;&gt;1,COUNTIF('公司'!$A$8:$A$207,C79)&lt;&gt;1,AND(D79&lt;&gt;"",COUNTIF('联系人'!$A$8:$A$207,D79)&lt;&gt;1),AND(E79&lt;&gt;"",COUNTIF('用胶项目'!$A$8:$A$207,E79)&lt;&gt;1),AND(N79&lt;&gt;"",COUNTIF('跟进待办'!$A$8:$A$207,N79)&lt;&gt;1)),"检查编号或关联","正常"))</f>
        <v/>
      </c>
    </row>
    <row r="80" ht="34" customHeight="1">
      <c r="A80" s="32" t="n"/>
      <c r="B80" s="33" t="n"/>
      <c r="C80" s="32" t="n"/>
      <c r="D80" s="32" t="n"/>
      <c r="E80" s="32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32" t="n"/>
      <c r="O80" s="10" t="n"/>
      <c r="P80" s="16">
        <f>IF(A80="","",IF(OR(COUNTIF($A$8:$A$207,A80)&lt;&gt;1,COUNTIF('公司'!$A$8:$A$207,C80)&lt;&gt;1,AND(D80&lt;&gt;"",COUNTIF('联系人'!$A$8:$A$207,D80)&lt;&gt;1),AND(E80&lt;&gt;"",COUNTIF('用胶项目'!$A$8:$A$207,E80)&lt;&gt;1),AND(N80&lt;&gt;"",COUNTIF('跟进待办'!$A$8:$A$207,N80)&lt;&gt;1)),"检查编号或关联","正常"))</f>
        <v/>
      </c>
    </row>
    <row r="81" ht="34" customHeight="1">
      <c r="A81" s="32" t="n"/>
      <c r="B81" s="33" t="n"/>
      <c r="C81" s="32" t="n"/>
      <c r="D81" s="32" t="n"/>
      <c r="E81" s="32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32" t="n"/>
      <c r="O81" s="10" t="n"/>
      <c r="P81" s="16">
        <f>IF(A81="","",IF(OR(COUNTIF($A$8:$A$207,A81)&lt;&gt;1,COUNTIF('公司'!$A$8:$A$207,C81)&lt;&gt;1,AND(D81&lt;&gt;"",COUNTIF('联系人'!$A$8:$A$207,D81)&lt;&gt;1),AND(E81&lt;&gt;"",COUNTIF('用胶项目'!$A$8:$A$207,E81)&lt;&gt;1),AND(N81&lt;&gt;"",COUNTIF('跟进待办'!$A$8:$A$207,N81)&lt;&gt;1)),"检查编号或关联","正常"))</f>
        <v/>
      </c>
    </row>
    <row r="82" ht="34" customHeight="1">
      <c r="A82" s="32" t="n"/>
      <c r="B82" s="33" t="n"/>
      <c r="C82" s="32" t="n"/>
      <c r="D82" s="32" t="n"/>
      <c r="E82" s="32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32" t="n"/>
      <c r="O82" s="10" t="n"/>
      <c r="P82" s="16">
        <f>IF(A82="","",IF(OR(COUNTIF($A$8:$A$207,A82)&lt;&gt;1,COUNTIF('公司'!$A$8:$A$207,C82)&lt;&gt;1,AND(D82&lt;&gt;"",COUNTIF('联系人'!$A$8:$A$207,D82)&lt;&gt;1),AND(E82&lt;&gt;"",COUNTIF('用胶项目'!$A$8:$A$207,E82)&lt;&gt;1),AND(N82&lt;&gt;"",COUNTIF('跟进待办'!$A$8:$A$207,N82)&lt;&gt;1)),"检查编号或关联","正常"))</f>
        <v/>
      </c>
    </row>
    <row r="83" ht="34" customHeight="1">
      <c r="A83" s="32" t="n"/>
      <c r="B83" s="33" t="n"/>
      <c r="C83" s="32" t="n"/>
      <c r="D83" s="32" t="n"/>
      <c r="E83" s="32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32" t="n"/>
      <c r="O83" s="10" t="n"/>
      <c r="P83" s="16">
        <f>IF(A83="","",IF(OR(COUNTIF($A$8:$A$207,A83)&lt;&gt;1,COUNTIF('公司'!$A$8:$A$207,C83)&lt;&gt;1,AND(D83&lt;&gt;"",COUNTIF('联系人'!$A$8:$A$207,D83)&lt;&gt;1),AND(E83&lt;&gt;"",COUNTIF('用胶项目'!$A$8:$A$207,E83)&lt;&gt;1),AND(N83&lt;&gt;"",COUNTIF('跟进待办'!$A$8:$A$207,N83)&lt;&gt;1)),"检查编号或关联","正常"))</f>
        <v/>
      </c>
    </row>
    <row r="84" ht="34" customHeight="1">
      <c r="A84" s="32" t="n"/>
      <c r="B84" s="33" t="n"/>
      <c r="C84" s="32" t="n"/>
      <c r="D84" s="32" t="n"/>
      <c r="E84" s="32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32" t="n"/>
      <c r="O84" s="10" t="n"/>
      <c r="P84" s="16">
        <f>IF(A84="","",IF(OR(COUNTIF($A$8:$A$207,A84)&lt;&gt;1,COUNTIF('公司'!$A$8:$A$207,C84)&lt;&gt;1,AND(D84&lt;&gt;"",COUNTIF('联系人'!$A$8:$A$207,D84)&lt;&gt;1),AND(E84&lt;&gt;"",COUNTIF('用胶项目'!$A$8:$A$207,E84)&lt;&gt;1),AND(N84&lt;&gt;"",COUNTIF('跟进待办'!$A$8:$A$207,N84)&lt;&gt;1)),"检查编号或关联","正常"))</f>
        <v/>
      </c>
    </row>
    <row r="85" ht="34" customHeight="1">
      <c r="A85" s="32" t="n"/>
      <c r="B85" s="33" t="n"/>
      <c r="C85" s="32" t="n"/>
      <c r="D85" s="32" t="n"/>
      <c r="E85" s="32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32" t="n"/>
      <c r="O85" s="10" t="n"/>
      <c r="P85" s="16">
        <f>IF(A85="","",IF(OR(COUNTIF($A$8:$A$207,A85)&lt;&gt;1,COUNTIF('公司'!$A$8:$A$207,C85)&lt;&gt;1,AND(D85&lt;&gt;"",COUNTIF('联系人'!$A$8:$A$207,D85)&lt;&gt;1),AND(E85&lt;&gt;"",COUNTIF('用胶项目'!$A$8:$A$207,E85)&lt;&gt;1),AND(N85&lt;&gt;"",COUNTIF('跟进待办'!$A$8:$A$207,N85)&lt;&gt;1)),"检查编号或关联","正常"))</f>
        <v/>
      </c>
    </row>
    <row r="86" ht="34" customHeight="1">
      <c r="A86" s="32" t="n"/>
      <c r="B86" s="33" t="n"/>
      <c r="C86" s="32" t="n"/>
      <c r="D86" s="32" t="n"/>
      <c r="E86" s="32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32" t="n"/>
      <c r="O86" s="10" t="n"/>
      <c r="P86" s="16">
        <f>IF(A86="","",IF(OR(COUNTIF($A$8:$A$207,A86)&lt;&gt;1,COUNTIF('公司'!$A$8:$A$207,C86)&lt;&gt;1,AND(D86&lt;&gt;"",COUNTIF('联系人'!$A$8:$A$207,D86)&lt;&gt;1),AND(E86&lt;&gt;"",COUNTIF('用胶项目'!$A$8:$A$207,E86)&lt;&gt;1),AND(N86&lt;&gt;"",COUNTIF('跟进待办'!$A$8:$A$207,N86)&lt;&gt;1)),"检查编号或关联","正常"))</f>
        <v/>
      </c>
    </row>
    <row r="87" ht="34" customHeight="1">
      <c r="A87" s="32" t="n"/>
      <c r="B87" s="33" t="n"/>
      <c r="C87" s="32" t="n"/>
      <c r="D87" s="32" t="n"/>
      <c r="E87" s="32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32" t="n"/>
      <c r="O87" s="10" t="n"/>
      <c r="P87" s="16">
        <f>IF(A87="","",IF(OR(COUNTIF($A$8:$A$207,A87)&lt;&gt;1,COUNTIF('公司'!$A$8:$A$207,C87)&lt;&gt;1,AND(D87&lt;&gt;"",COUNTIF('联系人'!$A$8:$A$207,D87)&lt;&gt;1),AND(E87&lt;&gt;"",COUNTIF('用胶项目'!$A$8:$A$207,E87)&lt;&gt;1),AND(N87&lt;&gt;"",COUNTIF('跟进待办'!$A$8:$A$207,N87)&lt;&gt;1)),"检查编号或关联","正常"))</f>
        <v/>
      </c>
    </row>
    <row r="88" ht="34" customHeight="1">
      <c r="A88" s="32" t="n"/>
      <c r="B88" s="33" t="n"/>
      <c r="C88" s="32" t="n"/>
      <c r="D88" s="32" t="n"/>
      <c r="E88" s="32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32" t="n"/>
      <c r="O88" s="10" t="n"/>
      <c r="P88" s="16">
        <f>IF(A88="","",IF(OR(COUNTIF($A$8:$A$207,A88)&lt;&gt;1,COUNTIF('公司'!$A$8:$A$207,C88)&lt;&gt;1,AND(D88&lt;&gt;"",COUNTIF('联系人'!$A$8:$A$207,D88)&lt;&gt;1),AND(E88&lt;&gt;"",COUNTIF('用胶项目'!$A$8:$A$207,E88)&lt;&gt;1),AND(N88&lt;&gt;"",COUNTIF('跟进待办'!$A$8:$A$207,N88)&lt;&gt;1)),"检查编号或关联","正常"))</f>
        <v/>
      </c>
    </row>
    <row r="89" ht="34" customHeight="1">
      <c r="A89" s="32" t="n"/>
      <c r="B89" s="33" t="n"/>
      <c r="C89" s="32" t="n"/>
      <c r="D89" s="32" t="n"/>
      <c r="E89" s="32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32" t="n"/>
      <c r="O89" s="10" t="n"/>
      <c r="P89" s="16">
        <f>IF(A89="","",IF(OR(COUNTIF($A$8:$A$207,A89)&lt;&gt;1,COUNTIF('公司'!$A$8:$A$207,C89)&lt;&gt;1,AND(D89&lt;&gt;"",COUNTIF('联系人'!$A$8:$A$207,D89)&lt;&gt;1),AND(E89&lt;&gt;"",COUNTIF('用胶项目'!$A$8:$A$207,E89)&lt;&gt;1),AND(N89&lt;&gt;"",COUNTIF('跟进待办'!$A$8:$A$207,N89)&lt;&gt;1)),"检查编号或关联","正常"))</f>
        <v/>
      </c>
    </row>
    <row r="90" ht="34" customHeight="1">
      <c r="A90" s="32" t="n"/>
      <c r="B90" s="33" t="n"/>
      <c r="C90" s="32" t="n"/>
      <c r="D90" s="32" t="n"/>
      <c r="E90" s="32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32" t="n"/>
      <c r="O90" s="10" t="n"/>
      <c r="P90" s="16">
        <f>IF(A90="","",IF(OR(COUNTIF($A$8:$A$207,A90)&lt;&gt;1,COUNTIF('公司'!$A$8:$A$207,C90)&lt;&gt;1,AND(D90&lt;&gt;"",COUNTIF('联系人'!$A$8:$A$207,D90)&lt;&gt;1),AND(E90&lt;&gt;"",COUNTIF('用胶项目'!$A$8:$A$207,E90)&lt;&gt;1),AND(N90&lt;&gt;"",COUNTIF('跟进待办'!$A$8:$A$207,N90)&lt;&gt;1)),"检查编号或关联","正常"))</f>
        <v/>
      </c>
    </row>
    <row r="91" ht="34" customHeight="1">
      <c r="A91" s="32" t="n"/>
      <c r="B91" s="33" t="n"/>
      <c r="C91" s="32" t="n"/>
      <c r="D91" s="32" t="n"/>
      <c r="E91" s="32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32" t="n"/>
      <c r="O91" s="10" t="n"/>
      <c r="P91" s="16">
        <f>IF(A91="","",IF(OR(COUNTIF($A$8:$A$207,A91)&lt;&gt;1,COUNTIF('公司'!$A$8:$A$207,C91)&lt;&gt;1,AND(D91&lt;&gt;"",COUNTIF('联系人'!$A$8:$A$207,D91)&lt;&gt;1),AND(E91&lt;&gt;"",COUNTIF('用胶项目'!$A$8:$A$207,E91)&lt;&gt;1),AND(N91&lt;&gt;"",COUNTIF('跟进待办'!$A$8:$A$207,N91)&lt;&gt;1)),"检查编号或关联","正常"))</f>
        <v/>
      </c>
    </row>
    <row r="92" ht="34" customHeight="1">
      <c r="A92" s="32" t="n"/>
      <c r="B92" s="33" t="n"/>
      <c r="C92" s="32" t="n"/>
      <c r="D92" s="32" t="n"/>
      <c r="E92" s="32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32" t="n"/>
      <c r="O92" s="10" t="n"/>
      <c r="P92" s="16">
        <f>IF(A92="","",IF(OR(COUNTIF($A$8:$A$207,A92)&lt;&gt;1,COUNTIF('公司'!$A$8:$A$207,C92)&lt;&gt;1,AND(D92&lt;&gt;"",COUNTIF('联系人'!$A$8:$A$207,D92)&lt;&gt;1),AND(E92&lt;&gt;"",COUNTIF('用胶项目'!$A$8:$A$207,E92)&lt;&gt;1),AND(N92&lt;&gt;"",COUNTIF('跟进待办'!$A$8:$A$207,N92)&lt;&gt;1)),"检查编号或关联","正常"))</f>
        <v/>
      </c>
    </row>
    <row r="93" ht="34" customHeight="1">
      <c r="A93" s="32" t="n"/>
      <c r="B93" s="33" t="n"/>
      <c r="C93" s="32" t="n"/>
      <c r="D93" s="32" t="n"/>
      <c r="E93" s="32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32" t="n"/>
      <c r="O93" s="10" t="n"/>
      <c r="P93" s="16">
        <f>IF(A93="","",IF(OR(COUNTIF($A$8:$A$207,A93)&lt;&gt;1,COUNTIF('公司'!$A$8:$A$207,C93)&lt;&gt;1,AND(D93&lt;&gt;"",COUNTIF('联系人'!$A$8:$A$207,D93)&lt;&gt;1),AND(E93&lt;&gt;"",COUNTIF('用胶项目'!$A$8:$A$207,E93)&lt;&gt;1),AND(N93&lt;&gt;"",COUNTIF('跟进待办'!$A$8:$A$207,N93)&lt;&gt;1)),"检查编号或关联","正常"))</f>
        <v/>
      </c>
    </row>
    <row r="94" ht="34" customHeight="1">
      <c r="A94" s="32" t="n"/>
      <c r="B94" s="33" t="n"/>
      <c r="C94" s="32" t="n"/>
      <c r="D94" s="32" t="n"/>
      <c r="E94" s="32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32" t="n"/>
      <c r="O94" s="10" t="n"/>
      <c r="P94" s="16">
        <f>IF(A94="","",IF(OR(COUNTIF($A$8:$A$207,A94)&lt;&gt;1,COUNTIF('公司'!$A$8:$A$207,C94)&lt;&gt;1,AND(D94&lt;&gt;"",COUNTIF('联系人'!$A$8:$A$207,D94)&lt;&gt;1),AND(E94&lt;&gt;"",COUNTIF('用胶项目'!$A$8:$A$207,E94)&lt;&gt;1),AND(N94&lt;&gt;"",COUNTIF('跟进待办'!$A$8:$A$207,N94)&lt;&gt;1)),"检查编号或关联","正常"))</f>
        <v/>
      </c>
    </row>
    <row r="95" ht="34" customHeight="1">
      <c r="A95" s="32" t="n"/>
      <c r="B95" s="33" t="n"/>
      <c r="C95" s="32" t="n"/>
      <c r="D95" s="32" t="n"/>
      <c r="E95" s="32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32" t="n"/>
      <c r="O95" s="10" t="n"/>
      <c r="P95" s="16">
        <f>IF(A95="","",IF(OR(COUNTIF($A$8:$A$207,A95)&lt;&gt;1,COUNTIF('公司'!$A$8:$A$207,C95)&lt;&gt;1,AND(D95&lt;&gt;"",COUNTIF('联系人'!$A$8:$A$207,D95)&lt;&gt;1),AND(E95&lt;&gt;"",COUNTIF('用胶项目'!$A$8:$A$207,E95)&lt;&gt;1),AND(N95&lt;&gt;"",COUNTIF('跟进待办'!$A$8:$A$207,N95)&lt;&gt;1)),"检查编号或关联","正常"))</f>
        <v/>
      </c>
    </row>
    <row r="96" ht="34" customHeight="1">
      <c r="A96" s="32" t="n"/>
      <c r="B96" s="33" t="n"/>
      <c r="C96" s="32" t="n"/>
      <c r="D96" s="32" t="n"/>
      <c r="E96" s="32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32" t="n"/>
      <c r="O96" s="10" t="n"/>
      <c r="P96" s="16">
        <f>IF(A96="","",IF(OR(COUNTIF($A$8:$A$207,A96)&lt;&gt;1,COUNTIF('公司'!$A$8:$A$207,C96)&lt;&gt;1,AND(D96&lt;&gt;"",COUNTIF('联系人'!$A$8:$A$207,D96)&lt;&gt;1),AND(E96&lt;&gt;"",COUNTIF('用胶项目'!$A$8:$A$207,E96)&lt;&gt;1),AND(N96&lt;&gt;"",COUNTIF('跟进待办'!$A$8:$A$207,N96)&lt;&gt;1)),"检查编号或关联","正常"))</f>
        <v/>
      </c>
    </row>
    <row r="97" ht="34" customHeight="1">
      <c r="A97" s="32" t="n"/>
      <c r="B97" s="33" t="n"/>
      <c r="C97" s="32" t="n"/>
      <c r="D97" s="32" t="n"/>
      <c r="E97" s="32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32" t="n"/>
      <c r="O97" s="10" t="n"/>
      <c r="P97" s="16">
        <f>IF(A97="","",IF(OR(COUNTIF($A$8:$A$207,A97)&lt;&gt;1,COUNTIF('公司'!$A$8:$A$207,C97)&lt;&gt;1,AND(D97&lt;&gt;"",COUNTIF('联系人'!$A$8:$A$207,D97)&lt;&gt;1),AND(E97&lt;&gt;"",COUNTIF('用胶项目'!$A$8:$A$207,E97)&lt;&gt;1),AND(N97&lt;&gt;"",COUNTIF('跟进待办'!$A$8:$A$207,N97)&lt;&gt;1)),"检查编号或关联","正常"))</f>
        <v/>
      </c>
    </row>
    <row r="98" ht="34" customHeight="1">
      <c r="A98" s="32" t="n"/>
      <c r="B98" s="33" t="n"/>
      <c r="C98" s="32" t="n"/>
      <c r="D98" s="32" t="n"/>
      <c r="E98" s="32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32" t="n"/>
      <c r="O98" s="10" t="n"/>
      <c r="P98" s="16">
        <f>IF(A98="","",IF(OR(COUNTIF($A$8:$A$207,A98)&lt;&gt;1,COUNTIF('公司'!$A$8:$A$207,C98)&lt;&gt;1,AND(D98&lt;&gt;"",COUNTIF('联系人'!$A$8:$A$207,D98)&lt;&gt;1),AND(E98&lt;&gt;"",COUNTIF('用胶项目'!$A$8:$A$207,E98)&lt;&gt;1),AND(N98&lt;&gt;"",COUNTIF('跟进待办'!$A$8:$A$207,N98)&lt;&gt;1)),"检查编号或关联","正常"))</f>
        <v/>
      </c>
    </row>
    <row r="99" ht="34" customHeight="1">
      <c r="A99" s="32" t="n"/>
      <c r="B99" s="33" t="n"/>
      <c r="C99" s="32" t="n"/>
      <c r="D99" s="32" t="n"/>
      <c r="E99" s="32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32" t="n"/>
      <c r="O99" s="10" t="n"/>
      <c r="P99" s="16">
        <f>IF(A99="","",IF(OR(COUNTIF($A$8:$A$207,A99)&lt;&gt;1,COUNTIF('公司'!$A$8:$A$207,C99)&lt;&gt;1,AND(D99&lt;&gt;"",COUNTIF('联系人'!$A$8:$A$207,D99)&lt;&gt;1),AND(E99&lt;&gt;"",COUNTIF('用胶项目'!$A$8:$A$207,E99)&lt;&gt;1),AND(N99&lt;&gt;"",COUNTIF('跟进待办'!$A$8:$A$207,N99)&lt;&gt;1)),"检查编号或关联","正常"))</f>
        <v/>
      </c>
    </row>
    <row r="100" ht="34" customHeight="1">
      <c r="A100" s="32" t="n"/>
      <c r="B100" s="33" t="n"/>
      <c r="C100" s="32" t="n"/>
      <c r="D100" s="32" t="n"/>
      <c r="E100" s="32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32" t="n"/>
      <c r="O100" s="10" t="n"/>
      <c r="P100" s="16">
        <f>IF(A100="","",IF(OR(COUNTIF($A$8:$A$207,A100)&lt;&gt;1,COUNTIF('公司'!$A$8:$A$207,C100)&lt;&gt;1,AND(D100&lt;&gt;"",COUNTIF('联系人'!$A$8:$A$207,D100)&lt;&gt;1),AND(E100&lt;&gt;"",COUNTIF('用胶项目'!$A$8:$A$207,E100)&lt;&gt;1),AND(N100&lt;&gt;"",COUNTIF('跟进待办'!$A$8:$A$207,N100)&lt;&gt;1)),"检查编号或关联","正常"))</f>
        <v/>
      </c>
    </row>
    <row r="101" ht="34" customHeight="1">
      <c r="A101" s="32" t="n"/>
      <c r="B101" s="33" t="n"/>
      <c r="C101" s="32" t="n"/>
      <c r="D101" s="32" t="n"/>
      <c r="E101" s="32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32" t="n"/>
      <c r="O101" s="10" t="n"/>
      <c r="P101" s="16">
        <f>IF(A101="","",IF(OR(COUNTIF($A$8:$A$207,A101)&lt;&gt;1,COUNTIF('公司'!$A$8:$A$207,C101)&lt;&gt;1,AND(D101&lt;&gt;"",COUNTIF('联系人'!$A$8:$A$207,D101)&lt;&gt;1),AND(E101&lt;&gt;"",COUNTIF('用胶项目'!$A$8:$A$207,E101)&lt;&gt;1),AND(N101&lt;&gt;"",COUNTIF('跟进待办'!$A$8:$A$207,N101)&lt;&gt;1)),"检查编号或关联","正常"))</f>
        <v/>
      </c>
    </row>
    <row r="102" ht="34" customHeight="1">
      <c r="A102" s="32" t="n"/>
      <c r="B102" s="33" t="n"/>
      <c r="C102" s="32" t="n"/>
      <c r="D102" s="32" t="n"/>
      <c r="E102" s="32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32" t="n"/>
      <c r="O102" s="10" t="n"/>
      <c r="P102" s="16">
        <f>IF(A102="","",IF(OR(COUNTIF($A$8:$A$207,A102)&lt;&gt;1,COUNTIF('公司'!$A$8:$A$207,C102)&lt;&gt;1,AND(D102&lt;&gt;"",COUNTIF('联系人'!$A$8:$A$207,D102)&lt;&gt;1),AND(E102&lt;&gt;"",COUNTIF('用胶项目'!$A$8:$A$207,E102)&lt;&gt;1),AND(N102&lt;&gt;"",COUNTIF('跟进待办'!$A$8:$A$207,N102)&lt;&gt;1)),"检查编号或关联","正常"))</f>
        <v/>
      </c>
    </row>
    <row r="103" ht="34" customHeight="1">
      <c r="A103" s="32" t="n"/>
      <c r="B103" s="33" t="n"/>
      <c r="C103" s="32" t="n"/>
      <c r="D103" s="32" t="n"/>
      <c r="E103" s="32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32" t="n"/>
      <c r="O103" s="10" t="n"/>
      <c r="P103" s="16">
        <f>IF(A103="","",IF(OR(COUNTIF($A$8:$A$207,A103)&lt;&gt;1,COUNTIF('公司'!$A$8:$A$207,C103)&lt;&gt;1,AND(D103&lt;&gt;"",COUNTIF('联系人'!$A$8:$A$207,D103)&lt;&gt;1),AND(E103&lt;&gt;"",COUNTIF('用胶项目'!$A$8:$A$207,E103)&lt;&gt;1),AND(N103&lt;&gt;"",COUNTIF('跟进待办'!$A$8:$A$207,N103)&lt;&gt;1)),"检查编号或关联","正常"))</f>
        <v/>
      </c>
    </row>
    <row r="104" ht="34" customHeight="1">
      <c r="A104" s="32" t="n"/>
      <c r="B104" s="33" t="n"/>
      <c r="C104" s="32" t="n"/>
      <c r="D104" s="32" t="n"/>
      <c r="E104" s="32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32" t="n"/>
      <c r="O104" s="10" t="n"/>
      <c r="P104" s="16">
        <f>IF(A104="","",IF(OR(COUNTIF($A$8:$A$207,A104)&lt;&gt;1,COUNTIF('公司'!$A$8:$A$207,C104)&lt;&gt;1,AND(D104&lt;&gt;"",COUNTIF('联系人'!$A$8:$A$207,D104)&lt;&gt;1),AND(E104&lt;&gt;"",COUNTIF('用胶项目'!$A$8:$A$207,E104)&lt;&gt;1),AND(N104&lt;&gt;"",COUNTIF('跟进待办'!$A$8:$A$207,N104)&lt;&gt;1)),"检查编号或关联","正常"))</f>
        <v/>
      </c>
    </row>
    <row r="105" ht="34" customHeight="1">
      <c r="A105" s="32" t="n"/>
      <c r="B105" s="33" t="n"/>
      <c r="C105" s="32" t="n"/>
      <c r="D105" s="32" t="n"/>
      <c r="E105" s="32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32" t="n"/>
      <c r="O105" s="10" t="n"/>
      <c r="P105" s="16">
        <f>IF(A105="","",IF(OR(COUNTIF($A$8:$A$207,A105)&lt;&gt;1,COUNTIF('公司'!$A$8:$A$207,C105)&lt;&gt;1,AND(D105&lt;&gt;"",COUNTIF('联系人'!$A$8:$A$207,D105)&lt;&gt;1),AND(E105&lt;&gt;"",COUNTIF('用胶项目'!$A$8:$A$207,E105)&lt;&gt;1),AND(N105&lt;&gt;"",COUNTIF('跟进待办'!$A$8:$A$207,N105)&lt;&gt;1)),"检查编号或关联","正常"))</f>
        <v/>
      </c>
    </row>
    <row r="106" ht="34" customHeight="1">
      <c r="A106" s="32" t="n"/>
      <c r="B106" s="33" t="n"/>
      <c r="C106" s="32" t="n"/>
      <c r="D106" s="32" t="n"/>
      <c r="E106" s="32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32" t="n"/>
      <c r="O106" s="10" t="n"/>
      <c r="P106" s="16">
        <f>IF(A106="","",IF(OR(COUNTIF($A$8:$A$207,A106)&lt;&gt;1,COUNTIF('公司'!$A$8:$A$207,C106)&lt;&gt;1,AND(D106&lt;&gt;"",COUNTIF('联系人'!$A$8:$A$207,D106)&lt;&gt;1),AND(E106&lt;&gt;"",COUNTIF('用胶项目'!$A$8:$A$207,E106)&lt;&gt;1),AND(N106&lt;&gt;"",COUNTIF('跟进待办'!$A$8:$A$207,N106)&lt;&gt;1)),"检查编号或关联","正常"))</f>
        <v/>
      </c>
    </row>
    <row r="107" ht="34" customHeight="1">
      <c r="A107" s="32" t="n"/>
      <c r="B107" s="33" t="n"/>
      <c r="C107" s="32" t="n"/>
      <c r="D107" s="32" t="n"/>
      <c r="E107" s="32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32" t="n"/>
      <c r="O107" s="10" t="n"/>
      <c r="P107" s="16">
        <f>IF(A107="","",IF(OR(COUNTIF($A$8:$A$207,A107)&lt;&gt;1,COUNTIF('公司'!$A$8:$A$207,C107)&lt;&gt;1,AND(D107&lt;&gt;"",COUNTIF('联系人'!$A$8:$A$207,D107)&lt;&gt;1),AND(E107&lt;&gt;"",COUNTIF('用胶项目'!$A$8:$A$207,E107)&lt;&gt;1),AND(N107&lt;&gt;"",COUNTIF('跟进待办'!$A$8:$A$207,N107)&lt;&gt;1)),"检查编号或关联","正常"))</f>
        <v/>
      </c>
    </row>
    <row r="108" ht="34" customHeight="1">
      <c r="A108" s="32" t="n"/>
      <c r="B108" s="33" t="n"/>
      <c r="C108" s="32" t="n"/>
      <c r="D108" s="32" t="n"/>
      <c r="E108" s="32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32" t="n"/>
      <c r="O108" s="10" t="n"/>
      <c r="P108" s="16">
        <f>IF(A108="","",IF(OR(COUNTIF($A$8:$A$207,A108)&lt;&gt;1,COUNTIF('公司'!$A$8:$A$207,C108)&lt;&gt;1,AND(D108&lt;&gt;"",COUNTIF('联系人'!$A$8:$A$207,D108)&lt;&gt;1),AND(E108&lt;&gt;"",COUNTIF('用胶项目'!$A$8:$A$207,E108)&lt;&gt;1),AND(N108&lt;&gt;"",COUNTIF('跟进待办'!$A$8:$A$207,N108)&lt;&gt;1)),"检查编号或关联","正常"))</f>
        <v/>
      </c>
    </row>
    <row r="109" ht="34" customHeight="1">
      <c r="A109" s="32" t="n"/>
      <c r="B109" s="33" t="n"/>
      <c r="C109" s="32" t="n"/>
      <c r="D109" s="32" t="n"/>
      <c r="E109" s="32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32" t="n"/>
      <c r="O109" s="10" t="n"/>
      <c r="P109" s="16">
        <f>IF(A109="","",IF(OR(COUNTIF($A$8:$A$207,A109)&lt;&gt;1,COUNTIF('公司'!$A$8:$A$207,C109)&lt;&gt;1,AND(D109&lt;&gt;"",COUNTIF('联系人'!$A$8:$A$207,D109)&lt;&gt;1),AND(E109&lt;&gt;"",COUNTIF('用胶项目'!$A$8:$A$207,E109)&lt;&gt;1),AND(N109&lt;&gt;"",COUNTIF('跟进待办'!$A$8:$A$207,N109)&lt;&gt;1)),"检查编号或关联","正常"))</f>
        <v/>
      </c>
    </row>
    <row r="110" ht="34" customHeight="1">
      <c r="A110" s="32" t="n"/>
      <c r="B110" s="33" t="n"/>
      <c r="C110" s="32" t="n"/>
      <c r="D110" s="32" t="n"/>
      <c r="E110" s="32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32" t="n"/>
      <c r="O110" s="10" t="n"/>
      <c r="P110" s="16">
        <f>IF(A110="","",IF(OR(COUNTIF($A$8:$A$207,A110)&lt;&gt;1,COUNTIF('公司'!$A$8:$A$207,C110)&lt;&gt;1,AND(D110&lt;&gt;"",COUNTIF('联系人'!$A$8:$A$207,D110)&lt;&gt;1),AND(E110&lt;&gt;"",COUNTIF('用胶项目'!$A$8:$A$207,E110)&lt;&gt;1),AND(N110&lt;&gt;"",COUNTIF('跟进待办'!$A$8:$A$207,N110)&lt;&gt;1)),"检查编号或关联","正常"))</f>
        <v/>
      </c>
    </row>
    <row r="111" ht="34" customHeight="1">
      <c r="A111" s="32" t="n"/>
      <c r="B111" s="33" t="n"/>
      <c r="C111" s="32" t="n"/>
      <c r="D111" s="32" t="n"/>
      <c r="E111" s="32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32" t="n"/>
      <c r="O111" s="10" t="n"/>
      <c r="P111" s="16">
        <f>IF(A111="","",IF(OR(COUNTIF($A$8:$A$207,A111)&lt;&gt;1,COUNTIF('公司'!$A$8:$A$207,C111)&lt;&gt;1,AND(D111&lt;&gt;"",COUNTIF('联系人'!$A$8:$A$207,D111)&lt;&gt;1),AND(E111&lt;&gt;"",COUNTIF('用胶项目'!$A$8:$A$207,E111)&lt;&gt;1),AND(N111&lt;&gt;"",COUNTIF('跟进待办'!$A$8:$A$207,N111)&lt;&gt;1)),"检查编号或关联","正常"))</f>
        <v/>
      </c>
    </row>
    <row r="112" ht="34" customHeight="1">
      <c r="A112" s="32" t="n"/>
      <c r="B112" s="33" t="n"/>
      <c r="C112" s="32" t="n"/>
      <c r="D112" s="32" t="n"/>
      <c r="E112" s="32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32" t="n"/>
      <c r="O112" s="10" t="n"/>
      <c r="P112" s="16">
        <f>IF(A112="","",IF(OR(COUNTIF($A$8:$A$207,A112)&lt;&gt;1,COUNTIF('公司'!$A$8:$A$207,C112)&lt;&gt;1,AND(D112&lt;&gt;"",COUNTIF('联系人'!$A$8:$A$207,D112)&lt;&gt;1),AND(E112&lt;&gt;"",COUNTIF('用胶项目'!$A$8:$A$207,E112)&lt;&gt;1),AND(N112&lt;&gt;"",COUNTIF('跟进待办'!$A$8:$A$207,N112)&lt;&gt;1)),"检查编号或关联","正常"))</f>
        <v/>
      </c>
    </row>
    <row r="113" ht="34" customHeight="1">
      <c r="A113" s="32" t="n"/>
      <c r="B113" s="33" t="n"/>
      <c r="C113" s="32" t="n"/>
      <c r="D113" s="32" t="n"/>
      <c r="E113" s="32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32" t="n"/>
      <c r="O113" s="10" t="n"/>
      <c r="P113" s="16">
        <f>IF(A113="","",IF(OR(COUNTIF($A$8:$A$207,A113)&lt;&gt;1,COUNTIF('公司'!$A$8:$A$207,C113)&lt;&gt;1,AND(D113&lt;&gt;"",COUNTIF('联系人'!$A$8:$A$207,D113)&lt;&gt;1),AND(E113&lt;&gt;"",COUNTIF('用胶项目'!$A$8:$A$207,E113)&lt;&gt;1),AND(N113&lt;&gt;"",COUNTIF('跟进待办'!$A$8:$A$207,N113)&lt;&gt;1)),"检查编号或关联","正常"))</f>
        <v/>
      </c>
    </row>
    <row r="114" ht="34" customHeight="1">
      <c r="A114" s="32" t="n"/>
      <c r="B114" s="33" t="n"/>
      <c r="C114" s="32" t="n"/>
      <c r="D114" s="32" t="n"/>
      <c r="E114" s="32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32" t="n"/>
      <c r="O114" s="10" t="n"/>
      <c r="P114" s="16">
        <f>IF(A114="","",IF(OR(COUNTIF($A$8:$A$207,A114)&lt;&gt;1,COUNTIF('公司'!$A$8:$A$207,C114)&lt;&gt;1,AND(D114&lt;&gt;"",COUNTIF('联系人'!$A$8:$A$207,D114)&lt;&gt;1),AND(E114&lt;&gt;"",COUNTIF('用胶项目'!$A$8:$A$207,E114)&lt;&gt;1),AND(N114&lt;&gt;"",COUNTIF('跟进待办'!$A$8:$A$207,N114)&lt;&gt;1)),"检查编号或关联","正常"))</f>
        <v/>
      </c>
    </row>
    <row r="115" ht="34" customHeight="1">
      <c r="A115" s="32" t="n"/>
      <c r="B115" s="33" t="n"/>
      <c r="C115" s="32" t="n"/>
      <c r="D115" s="32" t="n"/>
      <c r="E115" s="32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32" t="n"/>
      <c r="O115" s="10" t="n"/>
      <c r="P115" s="16">
        <f>IF(A115="","",IF(OR(COUNTIF($A$8:$A$207,A115)&lt;&gt;1,COUNTIF('公司'!$A$8:$A$207,C115)&lt;&gt;1,AND(D115&lt;&gt;"",COUNTIF('联系人'!$A$8:$A$207,D115)&lt;&gt;1),AND(E115&lt;&gt;"",COUNTIF('用胶项目'!$A$8:$A$207,E115)&lt;&gt;1),AND(N115&lt;&gt;"",COUNTIF('跟进待办'!$A$8:$A$207,N115)&lt;&gt;1)),"检查编号或关联","正常"))</f>
        <v/>
      </c>
    </row>
    <row r="116" ht="34" customHeight="1">
      <c r="A116" s="32" t="n"/>
      <c r="B116" s="33" t="n"/>
      <c r="C116" s="32" t="n"/>
      <c r="D116" s="32" t="n"/>
      <c r="E116" s="32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32" t="n"/>
      <c r="O116" s="10" t="n"/>
      <c r="P116" s="16">
        <f>IF(A116="","",IF(OR(COUNTIF($A$8:$A$207,A116)&lt;&gt;1,COUNTIF('公司'!$A$8:$A$207,C116)&lt;&gt;1,AND(D116&lt;&gt;"",COUNTIF('联系人'!$A$8:$A$207,D116)&lt;&gt;1),AND(E116&lt;&gt;"",COUNTIF('用胶项目'!$A$8:$A$207,E116)&lt;&gt;1),AND(N116&lt;&gt;"",COUNTIF('跟进待办'!$A$8:$A$207,N116)&lt;&gt;1)),"检查编号或关联","正常"))</f>
        <v/>
      </c>
    </row>
    <row r="117" ht="34" customHeight="1">
      <c r="A117" s="32" t="n"/>
      <c r="B117" s="33" t="n"/>
      <c r="C117" s="32" t="n"/>
      <c r="D117" s="32" t="n"/>
      <c r="E117" s="32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32" t="n"/>
      <c r="O117" s="10" t="n"/>
      <c r="P117" s="16">
        <f>IF(A117="","",IF(OR(COUNTIF($A$8:$A$207,A117)&lt;&gt;1,COUNTIF('公司'!$A$8:$A$207,C117)&lt;&gt;1,AND(D117&lt;&gt;"",COUNTIF('联系人'!$A$8:$A$207,D117)&lt;&gt;1),AND(E117&lt;&gt;"",COUNTIF('用胶项目'!$A$8:$A$207,E117)&lt;&gt;1),AND(N117&lt;&gt;"",COUNTIF('跟进待办'!$A$8:$A$207,N117)&lt;&gt;1)),"检查编号或关联","正常"))</f>
        <v/>
      </c>
    </row>
    <row r="118" ht="34" customHeight="1">
      <c r="A118" s="32" t="n"/>
      <c r="B118" s="33" t="n"/>
      <c r="C118" s="32" t="n"/>
      <c r="D118" s="32" t="n"/>
      <c r="E118" s="32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32" t="n"/>
      <c r="O118" s="10" t="n"/>
      <c r="P118" s="16">
        <f>IF(A118="","",IF(OR(COUNTIF($A$8:$A$207,A118)&lt;&gt;1,COUNTIF('公司'!$A$8:$A$207,C118)&lt;&gt;1,AND(D118&lt;&gt;"",COUNTIF('联系人'!$A$8:$A$207,D118)&lt;&gt;1),AND(E118&lt;&gt;"",COUNTIF('用胶项目'!$A$8:$A$207,E118)&lt;&gt;1),AND(N118&lt;&gt;"",COUNTIF('跟进待办'!$A$8:$A$207,N118)&lt;&gt;1)),"检查编号或关联","正常"))</f>
        <v/>
      </c>
    </row>
    <row r="119" ht="34" customHeight="1">
      <c r="A119" s="32" t="n"/>
      <c r="B119" s="33" t="n"/>
      <c r="C119" s="32" t="n"/>
      <c r="D119" s="32" t="n"/>
      <c r="E119" s="32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32" t="n"/>
      <c r="O119" s="10" t="n"/>
      <c r="P119" s="16">
        <f>IF(A119="","",IF(OR(COUNTIF($A$8:$A$207,A119)&lt;&gt;1,COUNTIF('公司'!$A$8:$A$207,C119)&lt;&gt;1,AND(D119&lt;&gt;"",COUNTIF('联系人'!$A$8:$A$207,D119)&lt;&gt;1),AND(E119&lt;&gt;"",COUNTIF('用胶项目'!$A$8:$A$207,E119)&lt;&gt;1),AND(N119&lt;&gt;"",COUNTIF('跟进待办'!$A$8:$A$207,N119)&lt;&gt;1)),"检查编号或关联","正常"))</f>
        <v/>
      </c>
    </row>
    <row r="120" ht="34" customHeight="1">
      <c r="A120" s="32" t="n"/>
      <c r="B120" s="33" t="n"/>
      <c r="C120" s="32" t="n"/>
      <c r="D120" s="32" t="n"/>
      <c r="E120" s="32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32" t="n"/>
      <c r="O120" s="10" t="n"/>
      <c r="P120" s="16">
        <f>IF(A120="","",IF(OR(COUNTIF($A$8:$A$207,A120)&lt;&gt;1,COUNTIF('公司'!$A$8:$A$207,C120)&lt;&gt;1,AND(D120&lt;&gt;"",COUNTIF('联系人'!$A$8:$A$207,D120)&lt;&gt;1),AND(E120&lt;&gt;"",COUNTIF('用胶项目'!$A$8:$A$207,E120)&lt;&gt;1),AND(N120&lt;&gt;"",COUNTIF('跟进待办'!$A$8:$A$207,N120)&lt;&gt;1)),"检查编号或关联","正常"))</f>
        <v/>
      </c>
    </row>
    <row r="121" ht="34" customHeight="1">
      <c r="A121" s="32" t="n"/>
      <c r="B121" s="33" t="n"/>
      <c r="C121" s="32" t="n"/>
      <c r="D121" s="32" t="n"/>
      <c r="E121" s="32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32" t="n"/>
      <c r="O121" s="10" t="n"/>
      <c r="P121" s="16">
        <f>IF(A121="","",IF(OR(COUNTIF($A$8:$A$207,A121)&lt;&gt;1,COUNTIF('公司'!$A$8:$A$207,C121)&lt;&gt;1,AND(D121&lt;&gt;"",COUNTIF('联系人'!$A$8:$A$207,D121)&lt;&gt;1),AND(E121&lt;&gt;"",COUNTIF('用胶项目'!$A$8:$A$207,E121)&lt;&gt;1),AND(N121&lt;&gt;"",COUNTIF('跟进待办'!$A$8:$A$207,N121)&lt;&gt;1)),"检查编号或关联","正常"))</f>
        <v/>
      </c>
    </row>
    <row r="122" ht="34" customHeight="1">
      <c r="A122" s="32" t="n"/>
      <c r="B122" s="33" t="n"/>
      <c r="C122" s="32" t="n"/>
      <c r="D122" s="32" t="n"/>
      <c r="E122" s="32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32" t="n"/>
      <c r="O122" s="10" t="n"/>
      <c r="P122" s="16">
        <f>IF(A122="","",IF(OR(COUNTIF($A$8:$A$207,A122)&lt;&gt;1,COUNTIF('公司'!$A$8:$A$207,C122)&lt;&gt;1,AND(D122&lt;&gt;"",COUNTIF('联系人'!$A$8:$A$207,D122)&lt;&gt;1),AND(E122&lt;&gt;"",COUNTIF('用胶项目'!$A$8:$A$207,E122)&lt;&gt;1),AND(N122&lt;&gt;"",COUNTIF('跟进待办'!$A$8:$A$207,N122)&lt;&gt;1)),"检查编号或关联","正常"))</f>
        <v/>
      </c>
    </row>
    <row r="123" ht="34" customHeight="1">
      <c r="A123" s="32" t="n"/>
      <c r="B123" s="33" t="n"/>
      <c r="C123" s="32" t="n"/>
      <c r="D123" s="32" t="n"/>
      <c r="E123" s="32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32" t="n"/>
      <c r="O123" s="10" t="n"/>
      <c r="P123" s="16">
        <f>IF(A123="","",IF(OR(COUNTIF($A$8:$A$207,A123)&lt;&gt;1,COUNTIF('公司'!$A$8:$A$207,C123)&lt;&gt;1,AND(D123&lt;&gt;"",COUNTIF('联系人'!$A$8:$A$207,D123)&lt;&gt;1),AND(E123&lt;&gt;"",COUNTIF('用胶项目'!$A$8:$A$207,E123)&lt;&gt;1),AND(N123&lt;&gt;"",COUNTIF('跟进待办'!$A$8:$A$207,N123)&lt;&gt;1)),"检查编号或关联","正常"))</f>
        <v/>
      </c>
    </row>
    <row r="124" ht="34" customHeight="1">
      <c r="A124" s="32" t="n"/>
      <c r="B124" s="33" t="n"/>
      <c r="C124" s="32" t="n"/>
      <c r="D124" s="32" t="n"/>
      <c r="E124" s="32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32" t="n"/>
      <c r="O124" s="10" t="n"/>
      <c r="P124" s="16">
        <f>IF(A124="","",IF(OR(COUNTIF($A$8:$A$207,A124)&lt;&gt;1,COUNTIF('公司'!$A$8:$A$207,C124)&lt;&gt;1,AND(D124&lt;&gt;"",COUNTIF('联系人'!$A$8:$A$207,D124)&lt;&gt;1),AND(E124&lt;&gt;"",COUNTIF('用胶项目'!$A$8:$A$207,E124)&lt;&gt;1),AND(N124&lt;&gt;"",COUNTIF('跟进待办'!$A$8:$A$207,N124)&lt;&gt;1)),"检查编号或关联","正常"))</f>
        <v/>
      </c>
    </row>
    <row r="125" ht="34" customHeight="1">
      <c r="A125" s="32" t="n"/>
      <c r="B125" s="33" t="n"/>
      <c r="C125" s="32" t="n"/>
      <c r="D125" s="32" t="n"/>
      <c r="E125" s="32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32" t="n"/>
      <c r="O125" s="10" t="n"/>
      <c r="P125" s="16">
        <f>IF(A125="","",IF(OR(COUNTIF($A$8:$A$207,A125)&lt;&gt;1,COUNTIF('公司'!$A$8:$A$207,C125)&lt;&gt;1,AND(D125&lt;&gt;"",COUNTIF('联系人'!$A$8:$A$207,D125)&lt;&gt;1),AND(E125&lt;&gt;"",COUNTIF('用胶项目'!$A$8:$A$207,E125)&lt;&gt;1),AND(N125&lt;&gt;"",COUNTIF('跟进待办'!$A$8:$A$207,N125)&lt;&gt;1)),"检查编号或关联","正常"))</f>
        <v/>
      </c>
    </row>
    <row r="126" ht="34" customHeight="1">
      <c r="A126" s="32" t="n"/>
      <c r="B126" s="33" t="n"/>
      <c r="C126" s="32" t="n"/>
      <c r="D126" s="32" t="n"/>
      <c r="E126" s="32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32" t="n"/>
      <c r="O126" s="10" t="n"/>
      <c r="P126" s="16">
        <f>IF(A126="","",IF(OR(COUNTIF($A$8:$A$207,A126)&lt;&gt;1,COUNTIF('公司'!$A$8:$A$207,C126)&lt;&gt;1,AND(D126&lt;&gt;"",COUNTIF('联系人'!$A$8:$A$207,D126)&lt;&gt;1),AND(E126&lt;&gt;"",COUNTIF('用胶项目'!$A$8:$A$207,E126)&lt;&gt;1),AND(N126&lt;&gt;"",COUNTIF('跟进待办'!$A$8:$A$207,N126)&lt;&gt;1)),"检查编号或关联","正常"))</f>
        <v/>
      </c>
    </row>
    <row r="127" ht="34" customHeight="1">
      <c r="A127" s="32" t="n"/>
      <c r="B127" s="33" t="n"/>
      <c r="C127" s="32" t="n"/>
      <c r="D127" s="32" t="n"/>
      <c r="E127" s="32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32" t="n"/>
      <c r="O127" s="10" t="n"/>
      <c r="P127" s="16">
        <f>IF(A127="","",IF(OR(COUNTIF($A$8:$A$207,A127)&lt;&gt;1,COUNTIF('公司'!$A$8:$A$207,C127)&lt;&gt;1,AND(D127&lt;&gt;"",COUNTIF('联系人'!$A$8:$A$207,D127)&lt;&gt;1),AND(E127&lt;&gt;"",COUNTIF('用胶项目'!$A$8:$A$207,E127)&lt;&gt;1),AND(N127&lt;&gt;"",COUNTIF('跟进待办'!$A$8:$A$207,N127)&lt;&gt;1)),"检查编号或关联","正常"))</f>
        <v/>
      </c>
    </row>
    <row r="128" ht="34" customHeight="1">
      <c r="A128" s="32" t="n"/>
      <c r="B128" s="33" t="n"/>
      <c r="C128" s="32" t="n"/>
      <c r="D128" s="32" t="n"/>
      <c r="E128" s="32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32" t="n"/>
      <c r="O128" s="10" t="n"/>
      <c r="P128" s="16">
        <f>IF(A128="","",IF(OR(COUNTIF($A$8:$A$207,A128)&lt;&gt;1,COUNTIF('公司'!$A$8:$A$207,C128)&lt;&gt;1,AND(D128&lt;&gt;"",COUNTIF('联系人'!$A$8:$A$207,D128)&lt;&gt;1),AND(E128&lt;&gt;"",COUNTIF('用胶项目'!$A$8:$A$207,E128)&lt;&gt;1),AND(N128&lt;&gt;"",COUNTIF('跟进待办'!$A$8:$A$207,N128)&lt;&gt;1)),"检查编号或关联","正常"))</f>
        <v/>
      </c>
    </row>
    <row r="129" ht="34" customHeight="1">
      <c r="A129" s="32" t="n"/>
      <c r="B129" s="33" t="n"/>
      <c r="C129" s="32" t="n"/>
      <c r="D129" s="32" t="n"/>
      <c r="E129" s="32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32" t="n"/>
      <c r="O129" s="10" t="n"/>
      <c r="P129" s="16">
        <f>IF(A129="","",IF(OR(COUNTIF($A$8:$A$207,A129)&lt;&gt;1,COUNTIF('公司'!$A$8:$A$207,C129)&lt;&gt;1,AND(D129&lt;&gt;"",COUNTIF('联系人'!$A$8:$A$207,D129)&lt;&gt;1),AND(E129&lt;&gt;"",COUNTIF('用胶项目'!$A$8:$A$207,E129)&lt;&gt;1),AND(N129&lt;&gt;"",COUNTIF('跟进待办'!$A$8:$A$207,N129)&lt;&gt;1)),"检查编号或关联","正常"))</f>
        <v/>
      </c>
    </row>
    <row r="130" ht="34" customHeight="1">
      <c r="A130" s="32" t="n"/>
      <c r="B130" s="33" t="n"/>
      <c r="C130" s="32" t="n"/>
      <c r="D130" s="32" t="n"/>
      <c r="E130" s="32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32" t="n"/>
      <c r="O130" s="10" t="n"/>
      <c r="P130" s="16">
        <f>IF(A130="","",IF(OR(COUNTIF($A$8:$A$207,A130)&lt;&gt;1,COUNTIF('公司'!$A$8:$A$207,C130)&lt;&gt;1,AND(D130&lt;&gt;"",COUNTIF('联系人'!$A$8:$A$207,D130)&lt;&gt;1),AND(E130&lt;&gt;"",COUNTIF('用胶项目'!$A$8:$A$207,E130)&lt;&gt;1),AND(N130&lt;&gt;"",COUNTIF('跟进待办'!$A$8:$A$207,N130)&lt;&gt;1)),"检查编号或关联","正常"))</f>
        <v/>
      </c>
    </row>
    <row r="131" ht="34" customHeight="1">
      <c r="A131" s="32" t="n"/>
      <c r="B131" s="33" t="n"/>
      <c r="C131" s="32" t="n"/>
      <c r="D131" s="32" t="n"/>
      <c r="E131" s="32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32" t="n"/>
      <c r="O131" s="10" t="n"/>
      <c r="P131" s="16">
        <f>IF(A131="","",IF(OR(COUNTIF($A$8:$A$207,A131)&lt;&gt;1,COUNTIF('公司'!$A$8:$A$207,C131)&lt;&gt;1,AND(D131&lt;&gt;"",COUNTIF('联系人'!$A$8:$A$207,D131)&lt;&gt;1),AND(E131&lt;&gt;"",COUNTIF('用胶项目'!$A$8:$A$207,E131)&lt;&gt;1),AND(N131&lt;&gt;"",COUNTIF('跟进待办'!$A$8:$A$207,N131)&lt;&gt;1)),"检查编号或关联","正常"))</f>
        <v/>
      </c>
    </row>
    <row r="132" ht="34" customHeight="1">
      <c r="A132" s="32" t="n"/>
      <c r="B132" s="33" t="n"/>
      <c r="C132" s="32" t="n"/>
      <c r="D132" s="32" t="n"/>
      <c r="E132" s="32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32" t="n"/>
      <c r="O132" s="10" t="n"/>
      <c r="P132" s="16">
        <f>IF(A132="","",IF(OR(COUNTIF($A$8:$A$207,A132)&lt;&gt;1,COUNTIF('公司'!$A$8:$A$207,C132)&lt;&gt;1,AND(D132&lt;&gt;"",COUNTIF('联系人'!$A$8:$A$207,D132)&lt;&gt;1),AND(E132&lt;&gt;"",COUNTIF('用胶项目'!$A$8:$A$207,E132)&lt;&gt;1),AND(N132&lt;&gt;"",COUNTIF('跟进待办'!$A$8:$A$207,N132)&lt;&gt;1)),"检查编号或关联","正常"))</f>
        <v/>
      </c>
    </row>
    <row r="133" ht="34" customHeight="1">
      <c r="A133" s="32" t="n"/>
      <c r="B133" s="33" t="n"/>
      <c r="C133" s="32" t="n"/>
      <c r="D133" s="32" t="n"/>
      <c r="E133" s="32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32" t="n"/>
      <c r="O133" s="10" t="n"/>
      <c r="P133" s="16">
        <f>IF(A133="","",IF(OR(COUNTIF($A$8:$A$207,A133)&lt;&gt;1,COUNTIF('公司'!$A$8:$A$207,C133)&lt;&gt;1,AND(D133&lt;&gt;"",COUNTIF('联系人'!$A$8:$A$207,D133)&lt;&gt;1),AND(E133&lt;&gt;"",COUNTIF('用胶项目'!$A$8:$A$207,E133)&lt;&gt;1),AND(N133&lt;&gt;"",COUNTIF('跟进待办'!$A$8:$A$207,N133)&lt;&gt;1)),"检查编号或关联","正常"))</f>
        <v/>
      </c>
    </row>
    <row r="134" ht="34" customHeight="1">
      <c r="A134" s="32" t="n"/>
      <c r="B134" s="33" t="n"/>
      <c r="C134" s="32" t="n"/>
      <c r="D134" s="32" t="n"/>
      <c r="E134" s="32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32" t="n"/>
      <c r="O134" s="10" t="n"/>
      <c r="P134" s="16">
        <f>IF(A134="","",IF(OR(COUNTIF($A$8:$A$207,A134)&lt;&gt;1,COUNTIF('公司'!$A$8:$A$207,C134)&lt;&gt;1,AND(D134&lt;&gt;"",COUNTIF('联系人'!$A$8:$A$207,D134)&lt;&gt;1),AND(E134&lt;&gt;"",COUNTIF('用胶项目'!$A$8:$A$207,E134)&lt;&gt;1),AND(N134&lt;&gt;"",COUNTIF('跟进待办'!$A$8:$A$207,N134)&lt;&gt;1)),"检查编号或关联","正常"))</f>
        <v/>
      </c>
    </row>
    <row r="135" ht="34" customHeight="1">
      <c r="A135" s="32" t="n"/>
      <c r="B135" s="33" t="n"/>
      <c r="C135" s="32" t="n"/>
      <c r="D135" s="32" t="n"/>
      <c r="E135" s="32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32" t="n"/>
      <c r="O135" s="10" t="n"/>
      <c r="P135" s="16">
        <f>IF(A135="","",IF(OR(COUNTIF($A$8:$A$207,A135)&lt;&gt;1,COUNTIF('公司'!$A$8:$A$207,C135)&lt;&gt;1,AND(D135&lt;&gt;"",COUNTIF('联系人'!$A$8:$A$207,D135)&lt;&gt;1),AND(E135&lt;&gt;"",COUNTIF('用胶项目'!$A$8:$A$207,E135)&lt;&gt;1),AND(N135&lt;&gt;"",COUNTIF('跟进待办'!$A$8:$A$207,N135)&lt;&gt;1)),"检查编号或关联","正常"))</f>
        <v/>
      </c>
    </row>
    <row r="136" ht="34" customHeight="1">
      <c r="A136" s="32" t="n"/>
      <c r="B136" s="33" t="n"/>
      <c r="C136" s="32" t="n"/>
      <c r="D136" s="32" t="n"/>
      <c r="E136" s="32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32" t="n"/>
      <c r="O136" s="10" t="n"/>
      <c r="P136" s="16">
        <f>IF(A136="","",IF(OR(COUNTIF($A$8:$A$207,A136)&lt;&gt;1,COUNTIF('公司'!$A$8:$A$207,C136)&lt;&gt;1,AND(D136&lt;&gt;"",COUNTIF('联系人'!$A$8:$A$207,D136)&lt;&gt;1),AND(E136&lt;&gt;"",COUNTIF('用胶项目'!$A$8:$A$207,E136)&lt;&gt;1),AND(N136&lt;&gt;"",COUNTIF('跟进待办'!$A$8:$A$207,N136)&lt;&gt;1)),"检查编号或关联","正常"))</f>
        <v/>
      </c>
    </row>
    <row r="137" ht="34" customHeight="1">
      <c r="A137" s="32" t="n"/>
      <c r="B137" s="33" t="n"/>
      <c r="C137" s="32" t="n"/>
      <c r="D137" s="32" t="n"/>
      <c r="E137" s="32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32" t="n"/>
      <c r="O137" s="10" t="n"/>
      <c r="P137" s="16">
        <f>IF(A137="","",IF(OR(COUNTIF($A$8:$A$207,A137)&lt;&gt;1,COUNTIF('公司'!$A$8:$A$207,C137)&lt;&gt;1,AND(D137&lt;&gt;"",COUNTIF('联系人'!$A$8:$A$207,D137)&lt;&gt;1),AND(E137&lt;&gt;"",COUNTIF('用胶项目'!$A$8:$A$207,E137)&lt;&gt;1),AND(N137&lt;&gt;"",COUNTIF('跟进待办'!$A$8:$A$207,N137)&lt;&gt;1)),"检查编号或关联","正常"))</f>
        <v/>
      </c>
    </row>
    <row r="138" ht="34" customHeight="1">
      <c r="A138" s="32" t="n"/>
      <c r="B138" s="33" t="n"/>
      <c r="C138" s="32" t="n"/>
      <c r="D138" s="32" t="n"/>
      <c r="E138" s="32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32" t="n"/>
      <c r="O138" s="10" t="n"/>
      <c r="P138" s="16">
        <f>IF(A138="","",IF(OR(COUNTIF($A$8:$A$207,A138)&lt;&gt;1,COUNTIF('公司'!$A$8:$A$207,C138)&lt;&gt;1,AND(D138&lt;&gt;"",COUNTIF('联系人'!$A$8:$A$207,D138)&lt;&gt;1),AND(E138&lt;&gt;"",COUNTIF('用胶项目'!$A$8:$A$207,E138)&lt;&gt;1),AND(N138&lt;&gt;"",COUNTIF('跟进待办'!$A$8:$A$207,N138)&lt;&gt;1)),"检查编号或关联","正常"))</f>
        <v/>
      </c>
    </row>
    <row r="139" ht="34" customHeight="1">
      <c r="A139" s="32" t="n"/>
      <c r="B139" s="33" t="n"/>
      <c r="C139" s="32" t="n"/>
      <c r="D139" s="32" t="n"/>
      <c r="E139" s="32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32" t="n"/>
      <c r="O139" s="10" t="n"/>
      <c r="P139" s="16">
        <f>IF(A139="","",IF(OR(COUNTIF($A$8:$A$207,A139)&lt;&gt;1,COUNTIF('公司'!$A$8:$A$207,C139)&lt;&gt;1,AND(D139&lt;&gt;"",COUNTIF('联系人'!$A$8:$A$207,D139)&lt;&gt;1),AND(E139&lt;&gt;"",COUNTIF('用胶项目'!$A$8:$A$207,E139)&lt;&gt;1),AND(N139&lt;&gt;"",COUNTIF('跟进待办'!$A$8:$A$207,N139)&lt;&gt;1)),"检查编号或关联","正常"))</f>
        <v/>
      </c>
    </row>
    <row r="140" ht="34" customHeight="1">
      <c r="A140" s="32" t="n"/>
      <c r="B140" s="33" t="n"/>
      <c r="C140" s="32" t="n"/>
      <c r="D140" s="32" t="n"/>
      <c r="E140" s="32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32" t="n"/>
      <c r="O140" s="10" t="n"/>
      <c r="P140" s="16">
        <f>IF(A140="","",IF(OR(COUNTIF($A$8:$A$207,A140)&lt;&gt;1,COUNTIF('公司'!$A$8:$A$207,C140)&lt;&gt;1,AND(D140&lt;&gt;"",COUNTIF('联系人'!$A$8:$A$207,D140)&lt;&gt;1),AND(E140&lt;&gt;"",COUNTIF('用胶项目'!$A$8:$A$207,E140)&lt;&gt;1),AND(N140&lt;&gt;"",COUNTIF('跟进待办'!$A$8:$A$207,N140)&lt;&gt;1)),"检查编号或关联","正常"))</f>
        <v/>
      </c>
    </row>
    <row r="141" ht="34" customHeight="1">
      <c r="A141" s="32" t="n"/>
      <c r="B141" s="33" t="n"/>
      <c r="C141" s="32" t="n"/>
      <c r="D141" s="32" t="n"/>
      <c r="E141" s="32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32" t="n"/>
      <c r="O141" s="10" t="n"/>
      <c r="P141" s="16">
        <f>IF(A141="","",IF(OR(COUNTIF($A$8:$A$207,A141)&lt;&gt;1,COUNTIF('公司'!$A$8:$A$207,C141)&lt;&gt;1,AND(D141&lt;&gt;"",COUNTIF('联系人'!$A$8:$A$207,D141)&lt;&gt;1),AND(E141&lt;&gt;"",COUNTIF('用胶项目'!$A$8:$A$207,E141)&lt;&gt;1),AND(N141&lt;&gt;"",COUNTIF('跟进待办'!$A$8:$A$207,N141)&lt;&gt;1)),"检查编号或关联","正常"))</f>
        <v/>
      </c>
    </row>
    <row r="142" ht="34" customHeight="1">
      <c r="A142" s="32" t="n"/>
      <c r="B142" s="33" t="n"/>
      <c r="C142" s="32" t="n"/>
      <c r="D142" s="32" t="n"/>
      <c r="E142" s="32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32" t="n"/>
      <c r="O142" s="10" t="n"/>
      <c r="P142" s="16">
        <f>IF(A142="","",IF(OR(COUNTIF($A$8:$A$207,A142)&lt;&gt;1,COUNTIF('公司'!$A$8:$A$207,C142)&lt;&gt;1,AND(D142&lt;&gt;"",COUNTIF('联系人'!$A$8:$A$207,D142)&lt;&gt;1),AND(E142&lt;&gt;"",COUNTIF('用胶项目'!$A$8:$A$207,E142)&lt;&gt;1),AND(N142&lt;&gt;"",COUNTIF('跟进待办'!$A$8:$A$207,N142)&lt;&gt;1)),"检查编号或关联","正常"))</f>
        <v/>
      </c>
    </row>
    <row r="143" ht="34" customHeight="1">
      <c r="A143" s="32" t="n"/>
      <c r="B143" s="33" t="n"/>
      <c r="C143" s="32" t="n"/>
      <c r="D143" s="32" t="n"/>
      <c r="E143" s="32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32" t="n"/>
      <c r="O143" s="10" t="n"/>
      <c r="P143" s="16">
        <f>IF(A143="","",IF(OR(COUNTIF($A$8:$A$207,A143)&lt;&gt;1,COUNTIF('公司'!$A$8:$A$207,C143)&lt;&gt;1,AND(D143&lt;&gt;"",COUNTIF('联系人'!$A$8:$A$207,D143)&lt;&gt;1),AND(E143&lt;&gt;"",COUNTIF('用胶项目'!$A$8:$A$207,E143)&lt;&gt;1),AND(N143&lt;&gt;"",COUNTIF('跟进待办'!$A$8:$A$207,N143)&lt;&gt;1)),"检查编号或关联","正常"))</f>
        <v/>
      </c>
    </row>
    <row r="144" ht="34" customHeight="1">
      <c r="A144" s="32" t="n"/>
      <c r="B144" s="33" t="n"/>
      <c r="C144" s="32" t="n"/>
      <c r="D144" s="32" t="n"/>
      <c r="E144" s="32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32" t="n"/>
      <c r="O144" s="10" t="n"/>
      <c r="P144" s="16">
        <f>IF(A144="","",IF(OR(COUNTIF($A$8:$A$207,A144)&lt;&gt;1,COUNTIF('公司'!$A$8:$A$207,C144)&lt;&gt;1,AND(D144&lt;&gt;"",COUNTIF('联系人'!$A$8:$A$207,D144)&lt;&gt;1),AND(E144&lt;&gt;"",COUNTIF('用胶项目'!$A$8:$A$207,E144)&lt;&gt;1),AND(N144&lt;&gt;"",COUNTIF('跟进待办'!$A$8:$A$207,N144)&lt;&gt;1)),"检查编号或关联","正常"))</f>
        <v/>
      </c>
    </row>
    <row r="145" ht="34" customHeight="1">
      <c r="A145" s="32" t="n"/>
      <c r="B145" s="33" t="n"/>
      <c r="C145" s="32" t="n"/>
      <c r="D145" s="32" t="n"/>
      <c r="E145" s="32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32" t="n"/>
      <c r="O145" s="10" t="n"/>
      <c r="P145" s="16">
        <f>IF(A145="","",IF(OR(COUNTIF($A$8:$A$207,A145)&lt;&gt;1,COUNTIF('公司'!$A$8:$A$207,C145)&lt;&gt;1,AND(D145&lt;&gt;"",COUNTIF('联系人'!$A$8:$A$207,D145)&lt;&gt;1),AND(E145&lt;&gt;"",COUNTIF('用胶项目'!$A$8:$A$207,E145)&lt;&gt;1),AND(N145&lt;&gt;"",COUNTIF('跟进待办'!$A$8:$A$207,N145)&lt;&gt;1)),"检查编号或关联","正常"))</f>
        <v/>
      </c>
    </row>
    <row r="146" ht="34" customHeight="1">
      <c r="A146" s="32" t="n"/>
      <c r="B146" s="33" t="n"/>
      <c r="C146" s="32" t="n"/>
      <c r="D146" s="32" t="n"/>
      <c r="E146" s="32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32" t="n"/>
      <c r="O146" s="10" t="n"/>
      <c r="P146" s="16">
        <f>IF(A146="","",IF(OR(COUNTIF($A$8:$A$207,A146)&lt;&gt;1,COUNTIF('公司'!$A$8:$A$207,C146)&lt;&gt;1,AND(D146&lt;&gt;"",COUNTIF('联系人'!$A$8:$A$207,D146)&lt;&gt;1),AND(E146&lt;&gt;"",COUNTIF('用胶项目'!$A$8:$A$207,E146)&lt;&gt;1),AND(N146&lt;&gt;"",COUNTIF('跟进待办'!$A$8:$A$207,N146)&lt;&gt;1)),"检查编号或关联","正常"))</f>
        <v/>
      </c>
    </row>
    <row r="147" ht="34" customHeight="1">
      <c r="A147" s="32" t="n"/>
      <c r="B147" s="33" t="n"/>
      <c r="C147" s="32" t="n"/>
      <c r="D147" s="32" t="n"/>
      <c r="E147" s="32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32" t="n"/>
      <c r="O147" s="10" t="n"/>
      <c r="P147" s="16">
        <f>IF(A147="","",IF(OR(COUNTIF($A$8:$A$207,A147)&lt;&gt;1,COUNTIF('公司'!$A$8:$A$207,C147)&lt;&gt;1,AND(D147&lt;&gt;"",COUNTIF('联系人'!$A$8:$A$207,D147)&lt;&gt;1),AND(E147&lt;&gt;"",COUNTIF('用胶项目'!$A$8:$A$207,E147)&lt;&gt;1),AND(N147&lt;&gt;"",COUNTIF('跟进待办'!$A$8:$A$207,N147)&lt;&gt;1)),"检查编号或关联","正常"))</f>
        <v/>
      </c>
    </row>
    <row r="148" ht="34" customHeight="1">
      <c r="A148" s="32" t="n"/>
      <c r="B148" s="33" t="n"/>
      <c r="C148" s="32" t="n"/>
      <c r="D148" s="32" t="n"/>
      <c r="E148" s="32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32" t="n"/>
      <c r="O148" s="10" t="n"/>
      <c r="P148" s="16">
        <f>IF(A148="","",IF(OR(COUNTIF($A$8:$A$207,A148)&lt;&gt;1,COUNTIF('公司'!$A$8:$A$207,C148)&lt;&gt;1,AND(D148&lt;&gt;"",COUNTIF('联系人'!$A$8:$A$207,D148)&lt;&gt;1),AND(E148&lt;&gt;"",COUNTIF('用胶项目'!$A$8:$A$207,E148)&lt;&gt;1),AND(N148&lt;&gt;"",COUNTIF('跟进待办'!$A$8:$A$207,N148)&lt;&gt;1)),"检查编号或关联","正常"))</f>
        <v/>
      </c>
    </row>
    <row r="149" ht="34" customHeight="1">
      <c r="A149" s="32" t="n"/>
      <c r="B149" s="33" t="n"/>
      <c r="C149" s="32" t="n"/>
      <c r="D149" s="32" t="n"/>
      <c r="E149" s="32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32" t="n"/>
      <c r="O149" s="10" t="n"/>
      <c r="P149" s="16">
        <f>IF(A149="","",IF(OR(COUNTIF($A$8:$A$207,A149)&lt;&gt;1,COUNTIF('公司'!$A$8:$A$207,C149)&lt;&gt;1,AND(D149&lt;&gt;"",COUNTIF('联系人'!$A$8:$A$207,D149)&lt;&gt;1),AND(E149&lt;&gt;"",COUNTIF('用胶项目'!$A$8:$A$207,E149)&lt;&gt;1),AND(N149&lt;&gt;"",COUNTIF('跟进待办'!$A$8:$A$207,N149)&lt;&gt;1)),"检查编号或关联","正常"))</f>
        <v/>
      </c>
    </row>
    <row r="150" ht="34" customHeight="1">
      <c r="A150" s="32" t="n"/>
      <c r="B150" s="33" t="n"/>
      <c r="C150" s="32" t="n"/>
      <c r="D150" s="32" t="n"/>
      <c r="E150" s="32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32" t="n"/>
      <c r="O150" s="10" t="n"/>
      <c r="P150" s="16">
        <f>IF(A150="","",IF(OR(COUNTIF($A$8:$A$207,A150)&lt;&gt;1,COUNTIF('公司'!$A$8:$A$207,C150)&lt;&gt;1,AND(D150&lt;&gt;"",COUNTIF('联系人'!$A$8:$A$207,D150)&lt;&gt;1),AND(E150&lt;&gt;"",COUNTIF('用胶项目'!$A$8:$A$207,E150)&lt;&gt;1),AND(N150&lt;&gt;"",COUNTIF('跟进待办'!$A$8:$A$207,N150)&lt;&gt;1)),"检查编号或关联","正常"))</f>
        <v/>
      </c>
    </row>
    <row r="151" ht="34" customHeight="1">
      <c r="A151" s="32" t="n"/>
      <c r="B151" s="33" t="n"/>
      <c r="C151" s="32" t="n"/>
      <c r="D151" s="32" t="n"/>
      <c r="E151" s="32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32" t="n"/>
      <c r="O151" s="10" t="n"/>
      <c r="P151" s="16">
        <f>IF(A151="","",IF(OR(COUNTIF($A$8:$A$207,A151)&lt;&gt;1,COUNTIF('公司'!$A$8:$A$207,C151)&lt;&gt;1,AND(D151&lt;&gt;"",COUNTIF('联系人'!$A$8:$A$207,D151)&lt;&gt;1),AND(E151&lt;&gt;"",COUNTIF('用胶项目'!$A$8:$A$207,E151)&lt;&gt;1),AND(N151&lt;&gt;"",COUNTIF('跟进待办'!$A$8:$A$207,N151)&lt;&gt;1)),"检查编号或关联","正常"))</f>
        <v/>
      </c>
    </row>
    <row r="152" ht="34" customHeight="1">
      <c r="A152" s="32" t="n"/>
      <c r="B152" s="33" t="n"/>
      <c r="C152" s="32" t="n"/>
      <c r="D152" s="32" t="n"/>
      <c r="E152" s="32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32" t="n"/>
      <c r="O152" s="10" t="n"/>
      <c r="P152" s="16">
        <f>IF(A152="","",IF(OR(COUNTIF($A$8:$A$207,A152)&lt;&gt;1,COUNTIF('公司'!$A$8:$A$207,C152)&lt;&gt;1,AND(D152&lt;&gt;"",COUNTIF('联系人'!$A$8:$A$207,D152)&lt;&gt;1),AND(E152&lt;&gt;"",COUNTIF('用胶项目'!$A$8:$A$207,E152)&lt;&gt;1),AND(N152&lt;&gt;"",COUNTIF('跟进待办'!$A$8:$A$207,N152)&lt;&gt;1)),"检查编号或关联","正常"))</f>
        <v/>
      </c>
    </row>
    <row r="153" ht="34" customHeight="1">
      <c r="A153" s="32" t="n"/>
      <c r="B153" s="33" t="n"/>
      <c r="C153" s="32" t="n"/>
      <c r="D153" s="32" t="n"/>
      <c r="E153" s="32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32" t="n"/>
      <c r="O153" s="10" t="n"/>
      <c r="P153" s="16">
        <f>IF(A153="","",IF(OR(COUNTIF($A$8:$A$207,A153)&lt;&gt;1,COUNTIF('公司'!$A$8:$A$207,C153)&lt;&gt;1,AND(D153&lt;&gt;"",COUNTIF('联系人'!$A$8:$A$207,D153)&lt;&gt;1),AND(E153&lt;&gt;"",COUNTIF('用胶项目'!$A$8:$A$207,E153)&lt;&gt;1),AND(N153&lt;&gt;"",COUNTIF('跟进待办'!$A$8:$A$207,N153)&lt;&gt;1)),"检查编号或关联","正常"))</f>
        <v/>
      </c>
    </row>
    <row r="154" ht="34" customHeight="1">
      <c r="A154" s="32" t="n"/>
      <c r="B154" s="33" t="n"/>
      <c r="C154" s="32" t="n"/>
      <c r="D154" s="32" t="n"/>
      <c r="E154" s="32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32" t="n"/>
      <c r="O154" s="10" t="n"/>
      <c r="P154" s="16">
        <f>IF(A154="","",IF(OR(COUNTIF($A$8:$A$207,A154)&lt;&gt;1,COUNTIF('公司'!$A$8:$A$207,C154)&lt;&gt;1,AND(D154&lt;&gt;"",COUNTIF('联系人'!$A$8:$A$207,D154)&lt;&gt;1),AND(E154&lt;&gt;"",COUNTIF('用胶项目'!$A$8:$A$207,E154)&lt;&gt;1),AND(N154&lt;&gt;"",COUNTIF('跟进待办'!$A$8:$A$207,N154)&lt;&gt;1)),"检查编号或关联","正常"))</f>
        <v/>
      </c>
    </row>
    <row r="155" ht="34" customHeight="1">
      <c r="A155" s="32" t="n"/>
      <c r="B155" s="33" t="n"/>
      <c r="C155" s="32" t="n"/>
      <c r="D155" s="32" t="n"/>
      <c r="E155" s="32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32" t="n"/>
      <c r="O155" s="10" t="n"/>
      <c r="P155" s="16">
        <f>IF(A155="","",IF(OR(COUNTIF($A$8:$A$207,A155)&lt;&gt;1,COUNTIF('公司'!$A$8:$A$207,C155)&lt;&gt;1,AND(D155&lt;&gt;"",COUNTIF('联系人'!$A$8:$A$207,D155)&lt;&gt;1),AND(E155&lt;&gt;"",COUNTIF('用胶项目'!$A$8:$A$207,E155)&lt;&gt;1),AND(N155&lt;&gt;"",COUNTIF('跟进待办'!$A$8:$A$207,N155)&lt;&gt;1)),"检查编号或关联","正常"))</f>
        <v/>
      </c>
    </row>
    <row r="156" ht="34" customHeight="1">
      <c r="A156" s="32" t="n"/>
      <c r="B156" s="33" t="n"/>
      <c r="C156" s="32" t="n"/>
      <c r="D156" s="32" t="n"/>
      <c r="E156" s="32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32" t="n"/>
      <c r="O156" s="10" t="n"/>
      <c r="P156" s="16">
        <f>IF(A156="","",IF(OR(COUNTIF($A$8:$A$207,A156)&lt;&gt;1,COUNTIF('公司'!$A$8:$A$207,C156)&lt;&gt;1,AND(D156&lt;&gt;"",COUNTIF('联系人'!$A$8:$A$207,D156)&lt;&gt;1),AND(E156&lt;&gt;"",COUNTIF('用胶项目'!$A$8:$A$207,E156)&lt;&gt;1),AND(N156&lt;&gt;"",COUNTIF('跟进待办'!$A$8:$A$207,N156)&lt;&gt;1)),"检查编号或关联","正常"))</f>
        <v/>
      </c>
    </row>
    <row r="157" ht="34" customHeight="1">
      <c r="A157" s="32" t="n"/>
      <c r="B157" s="33" t="n"/>
      <c r="C157" s="32" t="n"/>
      <c r="D157" s="32" t="n"/>
      <c r="E157" s="32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32" t="n"/>
      <c r="O157" s="10" t="n"/>
      <c r="P157" s="16">
        <f>IF(A157="","",IF(OR(COUNTIF($A$8:$A$207,A157)&lt;&gt;1,COUNTIF('公司'!$A$8:$A$207,C157)&lt;&gt;1,AND(D157&lt;&gt;"",COUNTIF('联系人'!$A$8:$A$207,D157)&lt;&gt;1),AND(E157&lt;&gt;"",COUNTIF('用胶项目'!$A$8:$A$207,E157)&lt;&gt;1),AND(N157&lt;&gt;"",COUNTIF('跟进待办'!$A$8:$A$207,N157)&lt;&gt;1)),"检查编号或关联","正常"))</f>
        <v/>
      </c>
    </row>
    <row r="158" ht="34" customHeight="1">
      <c r="A158" s="32" t="n"/>
      <c r="B158" s="33" t="n"/>
      <c r="C158" s="32" t="n"/>
      <c r="D158" s="32" t="n"/>
      <c r="E158" s="32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32" t="n"/>
      <c r="O158" s="10" t="n"/>
      <c r="P158" s="16">
        <f>IF(A158="","",IF(OR(COUNTIF($A$8:$A$207,A158)&lt;&gt;1,COUNTIF('公司'!$A$8:$A$207,C158)&lt;&gt;1,AND(D158&lt;&gt;"",COUNTIF('联系人'!$A$8:$A$207,D158)&lt;&gt;1),AND(E158&lt;&gt;"",COUNTIF('用胶项目'!$A$8:$A$207,E158)&lt;&gt;1),AND(N158&lt;&gt;"",COUNTIF('跟进待办'!$A$8:$A$207,N158)&lt;&gt;1)),"检查编号或关联","正常"))</f>
        <v/>
      </c>
    </row>
    <row r="159" ht="34" customHeight="1">
      <c r="A159" s="32" t="n"/>
      <c r="B159" s="33" t="n"/>
      <c r="C159" s="32" t="n"/>
      <c r="D159" s="32" t="n"/>
      <c r="E159" s="32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32" t="n"/>
      <c r="O159" s="10" t="n"/>
      <c r="P159" s="16">
        <f>IF(A159="","",IF(OR(COUNTIF($A$8:$A$207,A159)&lt;&gt;1,COUNTIF('公司'!$A$8:$A$207,C159)&lt;&gt;1,AND(D159&lt;&gt;"",COUNTIF('联系人'!$A$8:$A$207,D159)&lt;&gt;1),AND(E159&lt;&gt;"",COUNTIF('用胶项目'!$A$8:$A$207,E159)&lt;&gt;1),AND(N159&lt;&gt;"",COUNTIF('跟进待办'!$A$8:$A$207,N159)&lt;&gt;1)),"检查编号或关联","正常"))</f>
        <v/>
      </c>
    </row>
    <row r="160" ht="34" customHeight="1">
      <c r="A160" s="32" t="n"/>
      <c r="B160" s="33" t="n"/>
      <c r="C160" s="32" t="n"/>
      <c r="D160" s="32" t="n"/>
      <c r="E160" s="32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32" t="n"/>
      <c r="O160" s="10" t="n"/>
      <c r="P160" s="16">
        <f>IF(A160="","",IF(OR(COUNTIF($A$8:$A$207,A160)&lt;&gt;1,COUNTIF('公司'!$A$8:$A$207,C160)&lt;&gt;1,AND(D160&lt;&gt;"",COUNTIF('联系人'!$A$8:$A$207,D160)&lt;&gt;1),AND(E160&lt;&gt;"",COUNTIF('用胶项目'!$A$8:$A$207,E160)&lt;&gt;1),AND(N160&lt;&gt;"",COUNTIF('跟进待办'!$A$8:$A$207,N160)&lt;&gt;1)),"检查编号或关联","正常"))</f>
        <v/>
      </c>
    </row>
    <row r="161" ht="34" customHeight="1">
      <c r="A161" s="32" t="n"/>
      <c r="B161" s="33" t="n"/>
      <c r="C161" s="32" t="n"/>
      <c r="D161" s="32" t="n"/>
      <c r="E161" s="32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32" t="n"/>
      <c r="O161" s="10" t="n"/>
      <c r="P161" s="16">
        <f>IF(A161="","",IF(OR(COUNTIF($A$8:$A$207,A161)&lt;&gt;1,COUNTIF('公司'!$A$8:$A$207,C161)&lt;&gt;1,AND(D161&lt;&gt;"",COUNTIF('联系人'!$A$8:$A$207,D161)&lt;&gt;1),AND(E161&lt;&gt;"",COUNTIF('用胶项目'!$A$8:$A$207,E161)&lt;&gt;1),AND(N161&lt;&gt;"",COUNTIF('跟进待办'!$A$8:$A$207,N161)&lt;&gt;1)),"检查编号或关联","正常"))</f>
        <v/>
      </c>
    </row>
    <row r="162" ht="34" customHeight="1">
      <c r="A162" s="32" t="n"/>
      <c r="B162" s="33" t="n"/>
      <c r="C162" s="32" t="n"/>
      <c r="D162" s="32" t="n"/>
      <c r="E162" s="32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32" t="n"/>
      <c r="O162" s="10" t="n"/>
      <c r="P162" s="16">
        <f>IF(A162="","",IF(OR(COUNTIF($A$8:$A$207,A162)&lt;&gt;1,COUNTIF('公司'!$A$8:$A$207,C162)&lt;&gt;1,AND(D162&lt;&gt;"",COUNTIF('联系人'!$A$8:$A$207,D162)&lt;&gt;1),AND(E162&lt;&gt;"",COUNTIF('用胶项目'!$A$8:$A$207,E162)&lt;&gt;1),AND(N162&lt;&gt;"",COUNTIF('跟进待办'!$A$8:$A$207,N162)&lt;&gt;1)),"检查编号或关联","正常"))</f>
        <v/>
      </c>
    </row>
    <row r="163" ht="34" customHeight="1">
      <c r="A163" s="32" t="n"/>
      <c r="B163" s="33" t="n"/>
      <c r="C163" s="32" t="n"/>
      <c r="D163" s="32" t="n"/>
      <c r="E163" s="32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32" t="n"/>
      <c r="O163" s="10" t="n"/>
      <c r="P163" s="16">
        <f>IF(A163="","",IF(OR(COUNTIF($A$8:$A$207,A163)&lt;&gt;1,COUNTIF('公司'!$A$8:$A$207,C163)&lt;&gt;1,AND(D163&lt;&gt;"",COUNTIF('联系人'!$A$8:$A$207,D163)&lt;&gt;1),AND(E163&lt;&gt;"",COUNTIF('用胶项目'!$A$8:$A$207,E163)&lt;&gt;1),AND(N163&lt;&gt;"",COUNTIF('跟进待办'!$A$8:$A$207,N163)&lt;&gt;1)),"检查编号或关联","正常"))</f>
        <v/>
      </c>
    </row>
    <row r="164" ht="34" customHeight="1">
      <c r="A164" s="32" t="n"/>
      <c r="B164" s="33" t="n"/>
      <c r="C164" s="32" t="n"/>
      <c r="D164" s="32" t="n"/>
      <c r="E164" s="32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32" t="n"/>
      <c r="O164" s="10" t="n"/>
      <c r="P164" s="16">
        <f>IF(A164="","",IF(OR(COUNTIF($A$8:$A$207,A164)&lt;&gt;1,COUNTIF('公司'!$A$8:$A$207,C164)&lt;&gt;1,AND(D164&lt;&gt;"",COUNTIF('联系人'!$A$8:$A$207,D164)&lt;&gt;1),AND(E164&lt;&gt;"",COUNTIF('用胶项目'!$A$8:$A$207,E164)&lt;&gt;1),AND(N164&lt;&gt;"",COUNTIF('跟进待办'!$A$8:$A$207,N164)&lt;&gt;1)),"检查编号或关联","正常"))</f>
        <v/>
      </c>
    </row>
    <row r="165" ht="34" customHeight="1">
      <c r="A165" s="32" t="n"/>
      <c r="B165" s="33" t="n"/>
      <c r="C165" s="32" t="n"/>
      <c r="D165" s="32" t="n"/>
      <c r="E165" s="32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32" t="n"/>
      <c r="O165" s="10" t="n"/>
      <c r="P165" s="16">
        <f>IF(A165="","",IF(OR(COUNTIF($A$8:$A$207,A165)&lt;&gt;1,COUNTIF('公司'!$A$8:$A$207,C165)&lt;&gt;1,AND(D165&lt;&gt;"",COUNTIF('联系人'!$A$8:$A$207,D165)&lt;&gt;1),AND(E165&lt;&gt;"",COUNTIF('用胶项目'!$A$8:$A$207,E165)&lt;&gt;1),AND(N165&lt;&gt;"",COUNTIF('跟进待办'!$A$8:$A$207,N165)&lt;&gt;1)),"检查编号或关联","正常"))</f>
        <v/>
      </c>
    </row>
    <row r="166" ht="34" customHeight="1">
      <c r="A166" s="32" t="n"/>
      <c r="B166" s="33" t="n"/>
      <c r="C166" s="32" t="n"/>
      <c r="D166" s="32" t="n"/>
      <c r="E166" s="32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32" t="n"/>
      <c r="O166" s="10" t="n"/>
      <c r="P166" s="16">
        <f>IF(A166="","",IF(OR(COUNTIF($A$8:$A$207,A166)&lt;&gt;1,COUNTIF('公司'!$A$8:$A$207,C166)&lt;&gt;1,AND(D166&lt;&gt;"",COUNTIF('联系人'!$A$8:$A$207,D166)&lt;&gt;1),AND(E166&lt;&gt;"",COUNTIF('用胶项目'!$A$8:$A$207,E166)&lt;&gt;1),AND(N166&lt;&gt;"",COUNTIF('跟进待办'!$A$8:$A$207,N166)&lt;&gt;1)),"检查编号或关联","正常"))</f>
        <v/>
      </c>
    </row>
    <row r="167" ht="34" customHeight="1">
      <c r="A167" s="32" t="n"/>
      <c r="B167" s="33" t="n"/>
      <c r="C167" s="32" t="n"/>
      <c r="D167" s="32" t="n"/>
      <c r="E167" s="32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32" t="n"/>
      <c r="O167" s="10" t="n"/>
      <c r="P167" s="16">
        <f>IF(A167="","",IF(OR(COUNTIF($A$8:$A$207,A167)&lt;&gt;1,COUNTIF('公司'!$A$8:$A$207,C167)&lt;&gt;1,AND(D167&lt;&gt;"",COUNTIF('联系人'!$A$8:$A$207,D167)&lt;&gt;1),AND(E167&lt;&gt;"",COUNTIF('用胶项目'!$A$8:$A$207,E167)&lt;&gt;1),AND(N167&lt;&gt;"",COUNTIF('跟进待办'!$A$8:$A$207,N167)&lt;&gt;1)),"检查编号或关联","正常"))</f>
        <v/>
      </c>
    </row>
    <row r="168" ht="34" customHeight="1">
      <c r="A168" s="32" t="n"/>
      <c r="B168" s="33" t="n"/>
      <c r="C168" s="32" t="n"/>
      <c r="D168" s="32" t="n"/>
      <c r="E168" s="32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32" t="n"/>
      <c r="O168" s="10" t="n"/>
      <c r="P168" s="16">
        <f>IF(A168="","",IF(OR(COUNTIF($A$8:$A$207,A168)&lt;&gt;1,COUNTIF('公司'!$A$8:$A$207,C168)&lt;&gt;1,AND(D168&lt;&gt;"",COUNTIF('联系人'!$A$8:$A$207,D168)&lt;&gt;1),AND(E168&lt;&gt;"",COUNTIF('用胶项目'!$A$8:$A$207,E168)&lt;&gt;1),AND(N168&lt;&gt;"",COUNTIF('跟进待办'!$A$8:$A$207,N168)&lt;&gt;1)),"检查编号或关联","正常"))</f>
        <v/>
      </c>
    </row>
    <row r="169" ht="34" customHeight="1">
      <c r="A169" s="32" t="n"/>
      <c r="B169" s="33" t="n"/>
      <c r="C169" s="32" t="n"/>
      <c r="D169" s="32" t="n"/>
      <c r="E169" s="32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32" t="n"/>
      <c r="O169" s="10" t="n"/>
      <c r="P169" s="16">
        <f>IF(A169="","",IF(OR(COUNTIF($A$8:$A$207,A169)&lt;&gt;1,COUNTIF('公司'!$A$8:$A$207,C169)&lt;&gt;1,AND(D169&lt;&gt;"",COUNTIF('联系人'!$A$8:$A$207,D169)&lt;&gt;1),AND(E169&lt;&gt;"",COUNTIF('用胶项目'!$A$8:$A$207,E169)&lt;&gt;1),AND(N169&lt;&gt;"",COUNTIF('跟进待办'!$A$8:$A$207,N169)&lt;&gt;1)),"检查编号或关联","正常"))</f>
        <v/>
      </c>
    </row>
    <row r="170" ht="34" customHeight="1">
      <c r="A170" s="32" t="n"/>
      <c r="B170" s="33" t="n"/>
      <c r="C170" s="32" t="n"/>
      <c r="D170" s="32" t="n"/>
      <c r="E170" s="32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32" t="n"/>
      <c r="O170" s="10" t="n"/>
      <c r="P170" s="16">
        <f>IF(A170="","",IF(OR(COUNTIF($A$8:$A$207,A170)&lt;&gt;1,COUNTIF('公司'!$A$8:$A$207,C170)&lt;&gt;1,AND(D170&lt;&gt;"",COUNTIF('联系人'!$A$8:$A$207,D170)&lt;&gt;1),AND(E170&lt;&gt;"",COUNTIF('用胶项目'!$A$8:$A$207,E170)&lt;&gt;1),AND(N170&lt;&gt;"",COUNTIF('跟进待办'!$A$8:$A$207,N170)&lt;&gt;1)),"检查编号或关联","正常"))</f>
        <v/>
      </c>
    </row>
    <row r="171" ht="34" customHeight="1">
      <c r="A171" s="32" t="n"/>
      <c r="B171" s="33" t="n"/>
      <c r="C171" s="32" t="n"/>
      <c r="D171" s="32" t="n"/>
      <c r="E171" s="32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32" t="n"/>
      <c r="O171" s="10" t="n"/>
      <c r="P171" s="16">
        <f>IF(A171="","",IF(OR(COUNTIF($A$8:$A$207,A171)&lt;&gt;1,COUNTIF('公司'!$A$8:$A$207,C171)&lt;&gt;1,AND(D171&lt;&gt;"",COUNTIF('联系人'!$A$8:$A$207,D171)&lt;&gt;1),AND(E171&lt;&gt;"",COUNTIF('用胶项目'!$A$8:$A$207,E171)&lt;&gt;1),AND(N171&lt;&gt;"",COUNTIF('跟进待办'!$A$8:$A$207,N171)&lt;&gt;1)),"检查编号或关联","正常"))</f>
        <v/>
      </c>
    </row>
    <row r="172" ht="34" customHeight="1">
      <c r="A172" s="32" t="n"/>
      <c r="B172" s="33" t="n"/>
      <c r="C172" s="32" t="n"/>
      <c r="D172" s="32" t="n"/>
      <c r="E172" s="32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32" t="n"/>
      <c r="O172" s="10" t="n"/>
      <c r="P172" s="16">
        <f>IF(A172="","",IF(OR(COUNTIF($A$8:$A$207,A172)&lt;&gt;1,COUNTIF('公司'!$A$8:$A$207,C172)&lt;&gt;1,AND(D172&lt;&gt;"",COUNTIF('联系人'!$A$8:$A$207,D172)&lt;&gt;1),AND(E172&lt;&gt;"",COUNTIF('用胶项目'!$A$8:$A$207,E172)&lt;&gt;1),AND(N172&lt;&gt;"",COUNTIF('跟进待办'!$A$8:$A$207,N172)&lt;&gt;1)),"检查编号或关联","正常"))</f>
        <v/>
      </c>
    </row>
    <row r="173" ht="34" customHeight="1">
      <c r="A173" s="32" t="n"/>
      <c r="B173" s="33" t="n"/>
      <c r="C173" s="32" t="n"/>
      <c r="D173" s="32" t="n"/>
      <c r="E173" s="32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32" t="n"/>
      <c r="O173" s="10" t="n"/>
      <c r="P173" s="16">
        <f>IF(A173="","",IF(OR(COUNTIF($A$8:$A$207,A173)&lt;&gt;1,COUNTIF('公司'!$A$8:$A$207,C173)&lt;&gt;1,AND(D173&lt;&gt;"",COUNTIF('联系人'!$A$8:$A$207,D173)&lt;&gt;1),AND(E173&lt;&gt;"",COUNTIF('用胶项目'!$A$8:$A$207,E173)&lt;&gt;1),AND(N173&lt;&gt;"",COUNTIF('跟进待办'!$A$8:$A$207,N173)&lt;&gt;1)),"检查编号或关联","正常"))</f>
        <v/>
      </c>
    </row>
    <row r="174" ht="34" customHeight="1">
      <c r="A174" s="32" t="n"/>
      <c r="B174" s="33" t="n"/>
      <c r="C174" s="32" t="n"/>
      <c r="D174" s="32" t="n"/>
      <c r="E174" s="32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32" t="n"/>
      <c r="O174" s="10" t="n"/>
      <c r="P174" s="16">
        <f>IF(A174="","",IF(OR(COUNTIF($A$8:$A$207,A174)&lt;&gt;1,COUNTIF('公司'!$A$8:$A$207,C174)&lt;&gt;1,AND(D174&lt;&gt;"",COUNTIF('联系人'!$A$8:$A$207,D174)&lt;&gt;1),AND(E174&lt;&gt;"",COUNTIF('用胶项目'!$A$8:$A$207,E174)&lt;&gt;1),AND(N174&lt;&gt;"",COUNTIF('跟进待办'!$A$8:$A$207,N174)&lt;&gt;1)),"检查编号或关联","正常"))</f>
        <v/>
      </c>
    </row>
    <row r="175" ht="34" customHeight="1">
      <c r="A175" s="32" t="n"/>
      <c r="B175" s="33" t="n"/>
      <c r="C175" s="32" t="n"/>
      <c r="D175" s="32" t="n"/>
      <c r="E175" s="32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32" t="n"/>
      <c r="O175" s="10" t="n"/>
      <c r="P175" s="16">
        <f>IF(A175="","",IF(OR(COUNTIF($A$8:$A$207,A175)&lt;&gt;1,COUNTIF('公司'!$A$8:$A$207,C175)&lt;&gt;1,AND(D175&lt;&gt;"",COUNTIF('联系人'!$A$8:$A$207,D175)&lt;&gt;1),AND(E175&lt;&gt;"",COUNTIF('用胶项目'!$A$8:$A$207,E175)&lt;&gt;1),AND(N175&lt;&gt;"",COUNTIF('跟进待办'!$A$8:$A$207,N175)&lt;&gt;1)),"检查编号或关联","正常"))</f>
        <v/>
      </c>
    </row>
    <row r="176" ht="34" customHeight="1">
      <c r="A176" s="32" t="n"/>
      <c r="B176" s="33" t="n"/>
      <c r="C176" s="32" t="n"/>
      <c r="D176" s="32" t="n"/>
      <c r="E176" s="32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32" t="n"/>
      <c r="O176" s="10" t="n"/>
      <c r="P176" s="16">
        <f>IF(A176="","",IF(OR(COUNTIF($A$8:$A$207,A176)&lt;&gt;1,COUNTIF('公司'!$A$8:$A$207,C176)&lt;&gt;1,AND(D176&lt;&gt;"",COUNTIF('联系人'!$A$8:$A$207,D176)&lt;&gt;1),AND(E176&lt;&gt;"",COUNTIF('用胶项目'!$A$8:$A$207,E176)&lt;&gt;1),AND(N176&lt;&gt;"",COUNTIF('跟进待办'!$A$8:$A$207,N176)&lt;&gt;1)),"检查编号或关联","正常"))</f>
        <v/>
      </c>
    </row>
    <row r="177" ht="34" customHeight="1">
      <c r="A177" s="32" t="n"/>
      <c r="B177" s="33" t="n"/>
      <c r="C177" s="32" t="n"/>
      <c r="D177" s="32" t="n"/>
      <c r="E177" s="32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32" t="n"/>
      <c r="O177" s="10" t="n"/>
      <c r="P177" s="16">
        <f>IF(A177="","",IF(OR(COUNTIF($A$8:$A$207,A177)&lt;&gt;1,COUNTIF('公司'!$A$8:$A$207,C177)&lt;&gt;1,AND(D177&lt;&gt;"",COUNTIF('联系人'!$A$8:$A$207,D177)&lt;&gt;1),AND(E177&lt;&gt;"",COUNTIF('用胶项目'!$A$8:$A$207,E177)&lt;&gt;1),AND(N177&lt;&gt;"",COUNTIF('跟进待办'!$A$8:$A$207,N177)&lt;&gt;1)),"检查编号或关联","正常"))</f>
        <v/>
      </c>
    </row>
    <row r="178" ht="34" customHeight="1">
      <c r="A178" s="32" t="n"/>
      <c r="B178" s="33" t="n"/>
      <c r="C178" s="32" t="n"/>
      <c r="D178" s="32" t="n"/>
      <c r="E178" s="32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32" t="n"/>
      <c r="O178" s="10" t="n"/>
      <c r="P178" s="16">
        <f>IF(A178="","",IF(OR(COUNTIF($A$8:$A$207,A178)&lt;&gt;1,COUNTIF('公司'!$A$8:$A$207,C178)&lt;&gt;1,AND(D178&lt;&gt;"",COUNTIF('联系人'!$A$8:$A$207,D178)&lt;&gt;1),AND(E178&lt;&gt;"",COUNTIF('用胶项目'!$A$8:$A$207,E178)&lt;&gt;1),AND(N178&lt;&gt;"",COUNTIF('跟进待办'!$A$8:$A$207,N178)&lt;&gt;1)),"检查编号或关联","正常"))</f>
        <v/>
      </c>
    </row>
    <row r="179" ht="34" customHeight="1">
      <c r="A179" s="32" t="n"/>
      <c r="B179" s="33" t="n"/>
      <c r="C179" s="32" t="n"/>
      <c r="D179" s="32" t="n"/>
      <c r="E179" s="32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32" t="n"/>
      <c r="O179" s="10" t="n"/>
      <c r="P179" s="16">
        <f>IF(A179="","",IF(OR(COUNTIF($A$8:$A$207,A179)&lt;&gt;1,COUNTIF('公司'!$A$8:$A$207,C179)&lt;&gt;1,AND(D179&lt;&gt;"",COUNTIF('联系人'!$A$8:$A$207,D179)&lt;&gt;1),AND(E179&lt;&gt;"",COUNTIF('用胶项目'!$A$8:$A$207,E179)&lt;&gt;1),AND(N179&lt;&gt;"",COUNTIF('跟进待办'!$A$8:$A$207,N179)&lt;&gt;1)),"检查编号或关联","正常"))</f>
        <v/>
      </c>
    </row>
    <row r="180" ht="34" customHeight="1">
      <c r="A180" s="32" t="n"/>
      <c r="B180" s="33" t="n"/>
      <c r="C180" s="32" t="n"/>
      <c r="D180" s="32" t="n"/>
      <c r="E180" s="32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32" t="n"/>
      <c r="O180" s="10" t="n"/>
      <c r="P180" s="16">
        <f>IF(A180="","",IF(OR(COUNTIF($A$8:$A$207,A180)&lt;&gt;1,COUNTIF('公司'!$A$8:$A$207,C180)&lt;&gt;1,AND(D180&lt;&gt;"",COUNTIF('联系人'!$A$8:$A$207,D180)&lt;&gt;1),AND(E180&lt;&gt;"",COUNTIF('用胶项目'!$A$8:$A$207,E180)&lt;&gt;1),AND(N180&lt;&gt;"",COUNTIF('跟进待办'!$A$8:$A$207,N180)&lt;&gt;1)),"检查编号或关联","正常"))</f>
        <v/>
      </c>
    </row>
    <row r="181" ht="34" customHeight="1">
      <c r="A181" s="32" t="n"/>
      <c r="B181" s="33" t="n"/>
      <c r="C181" s="32" t="n"/>
      <c r="D181" s="32" t="n"/>
      <c r="E181" s="32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32" t="n"/>
      <c r="O181" s="10" t="n"/>
      <c r="P181" s="16">
        <f>IF(A181="","",IF(OR(COUNTIF($A$8:$A$207,A181)&lt;&gt;1,COUNTIF('公司'!$A$8:$A$207,C181)&lt;&gt;1,AND(D181&lt;&gt;"",COUNTIF('联系人'!$A$8:$A$207,D181)&lt;&gt;1),AND(E181&lt;&gt;"",COUNTIF('用胶项目'!$A$8:$A$207,E181)&lt;&gt;1),AND(N181&lt;&gt;"",COUNTIF('跟进待办'!$A$8:$A$207,N181)&lt;&gt;1)),"检查编号或关联","正常"))</f>
        <v/>
      </c>
    </row>
    <row r="182" ht="34" customHeight="1">
      <c r="A182" s="32" t="n"/>
      <c r="B182" s="33" t="n"/>
      <c r="C182" s="32" t="n"/>
      <c r="D182" s="32" t="n"/>
      <c r="E182" s="32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32" t="n"/>
      <c r="O182" s="10" t="n"/>
      <c r="P182" s="16">
        <f>IF(A182="","",IF(OR(COUNTIF($A$8:$A$207,A182)&lt;&gt;1,COUNTIF('公司'!$A$8:$A$207,C182)&lt;&gt;1,AND(D182&lt;&gt;"",COUNTIF('联系人'!$A$8:$A$207,D182)&lt;&gt;1),AND(E182&lt;&gt;"",COUNTIF('用胶项目'!$A$8:$A$207,E182)&lt;&gt;1),AND(N182&lt;&gt;"",COUNTIF('跟进待办'!$A$8:$A$207,N182)&lt;&gt;1)),"检查编号或关联","正常"))</f>
        <v/>
      </c>
    </row>
    <row r="183" ht="34" customHeight="1">
      <c r="A183" s="32" t="n"/>
      <c r="B183" s="33" t="n"/>
      <c r="C183" s="32" t="n"/>
      <c r="D183" s="32" t="n"/>
      <c r="E183" s="32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32" t="n"/>
      <c r="O183" s="10" t="n"/>
      <c r="P183" s="16">
        <f>IF(A183="","",IF(OR(COUNTIF($A$8:$A$207,A183)&lt;&gt;1,COUNTIF('公司'!$A$8:$A$207,C183)&lt;&gt;1,AND(D183&lt;&gt;"",COUNTIF('联系人'!$A$8:$A$207,D183)&lt;&gt;1),AND(E183&lt;&gt;"",COUNTIF('用胶项目'!$A$8:$A$207,E183)&lt;&gt;1),AND(N183&lt;&gt;"",COUNTIF('跟进待办'!$A$8:$A$207,N183)&lt;&gt;1)),"检查编号或关联","正常"))</f>
        <v/>
      </c>
    </row>
    <row r="184" ht="34" customHeight="1">
      <c r="A184" s="32" t="n"/>
      <c r="B184" s="33" t="n"/>
      <c r="C184" s="32" t="n"/>
      <c r="D184" s="32" t="n"/>
      <c r="E184" s="32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32" t="n"/>
      <c r="O184" s="10" t="n"/>
      <c r="P184" s="16">
        <f>IF(A184="","",IF(OR(COUNTIF($A$8:$A$207,A184)&lt;&gt;1,COUNTIF('公司'!$A$8:$A$207,C184)&lt;&gt;1,AND(D184&lt;&gt;"",COUNTIF('联系人'!$A$8:$A$207,D184)&lt;&gt;1),AND(E184&lt;&gt;"",COUNTIF('用胶项目'!$A$8:$A$207,E184)&lt;&gt;1),AND(N184&lt;&gt;"",COUNTIF('跟进待办'!$A$8:$A$207,N184)&lt;&gt;1)),"检查编号或关联","正常"))</f>
        <v/>
      </c>
    </row>
    <row r="185" ht="34" customHeight="1">
      <c r="A185" s="32" t="n"/>
      <c r="B185" s="33" t="n"/>
      <c r="C185" s="32" t="n"/>
      <c r="D185" s="32" t="n"/>
      <c r="E185" s="32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32" t="n"/>
      <c r="O185" s="10" t="n"/>
      <c r="P185" s="16">
        <f>IF(A185="","",IF(OR(COUNTIF($A$8:$A$207,A185)&lt;&gt;1,COUNTIF('公司'!$A$8:$A$207,C185)&lt;&gt;1,AND(D185&lt;&gt;"",COUNTIF('联系人'!$A$8:$A$207,D185)&lt;&gt;1),AND(E185&lt;&gt;"",COUNTIF('用胶项目'!$A$8:$A$207,E185)&lt;&gt;1),AND(N185&lt;&gt;"",COUNTIF('跟进待办'!$A$8:$A$207,N185)&lt;&gt;1)),"检查编号或关联","正常"))</f>
        <v/>
      </c>
    </row>
    <row r="186" ht="34" customHeight="1">
      <c r="A186" s="32" t="n"/>
      <c r="B186" s="33" t="n"/>
      <c r="C186" s="32" t="n"/>
      <c r="D186" s="32" t="n"/>
      <c r="E186" s="32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32" t="n"/>
      <c r="O186" s="10" t="n"/>
      <c r="P186" s="16">
        <f>IF(A186="","",IF(OR(COUNTIF($A$8:$A$207,A186)&lt;&gt;1,COUNTIF('公司'!$A$8:$A$207,C186)&lt;&gt;1,AND(D186&lt;&gt;"",COUNTIF('联系人'!$A$8:$A$207,D186)&lt;&gt;1),AND(E186&lt;&gt;"",COUNTIF('用胶项目'!$A$8:$A$207,E186)&lt;&gt;1),AND(N186&lt;&gt;"",COUNTIF('跟进待办'!$A$8:$A$207,N186)&lt;&gt;1)),"检查编号或关联","正常"))</f>
        <v/>
      </c>
    </row>
    <row r="187" ht="34" customHeight="1">
      <c r="A187" s="32" t="n"/>
      <c r="B187" s="33" t="n"/>
      <c r="C187" s="32" t="n"/>
      <c r="D187" s="32" t="n"/>
      <c r="E187" s="32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32" t="n"/>
      <c r="O187" s="10" t="n"/>
      <c r="P187" s="16">
        <f>IF(A187="","",IF(OR(COUNTIF($A$8:$A$207,A187)&lt;&gt;1,COUNTIF('公司'!$A$8:$A$207,C187)&lt;&gt;1,AND(D187&lt;&gt;"",COUNTIF('联系人'!$A$8:$A$207,D187)&lt;&gt;1),AND(E187&lt;&gt;"",COUNTIF('用胶项目'!$A$8:$A$207,E187)&lt;&gt;1),AND(N187&lt;&gt;"",COUNTIF('跟进待办'!$A$8:$A$207,N187)&lt;&gt;1)),"检查编号或关联","正常"))</f>
        <v/>
      </c>
    </row>
    <row r="188" ht="34" customHeight="1">
      <c r="A188" s="32" t="n"/>
      <c r="B188" s="33" t="n"/>
      <c r="C188" s="32" t="n"/>
      <c r="D188" s="32" t="n"/>
      <c r="E188" s="32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32" t="n"/>
      <c r="O188" s="10" t="n"/>
      <c r="P188" s="16">
        <f>IF(A188="","",IF(OR(COUNTIF($A$8:$A$207,A188)&lt;&gt;1,COUNTIF('公司'!$A$8:$A$207,C188)&lt;&gt;1,AND(D188&lt;&gt;"",COUNTIF('联系人'!$A$8:$A$207,D188)&lt;&gt;1),AND(E188&lt;&gt;"",COUNTIF('用胶项目'!$A$8:$A$207,E188)&lt;&gt;1),AND(N188&lt;&gt;"",COUNTIF('跟进待办'!$A$8:$A$207,N188)&lt;&gt;1)),"检查编号或关联","正常"))</f>
        <v/>
      </c>
    </row>
    <row r="189" ht="34" customHeight="1">
      <c r="A189" s="32" t="n"/>
      <c r="B189" s="33" t="n"/>
      <c r="C189" s="32" t="n"/>
      <c r="D189" s="32" t="n"/>
      <c r="E189" s="32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32" t="n"/>
      <c r="O189" s="10" t="n"/>
      <c r="P189" s="16">
        <f>IF(A189="","",IF(OR(COUNTIF($A$8:$A$207,A189)&lt;&gt;1,COUNTIF('公司'!$A$8:$A$207,C189)&lt;&gt;1,AND(D189&lt;&gt;"",COUNTIF('联系人'!$A$8:$A$207,D189)&lt;&gt;1),AND(E189&lt;&gt;"",COUNTIF('用胶项目'!$A$8:$A$207,E189)&lt;&gt;1),AND(N189&lt;&gt;"",COUNTIF('跟进待办'!$A$8:$A$207,N189)&lt;&gt;1)),"检查编号或关联","正常"))</f>
        <v/>
      </c>
    </row>
    <row r="190" ht="34" customHeight="1">
      <c r="A190" s="32" t="n"/>
      <c r="B190" s="33" t="n"/>
      <c r="C190" s="32" t="n"/>
      <c r="D190" s="32" t="n"/>
      <c r="E190" s="32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32" t="n"/>
      <c r="O190" s="10" t="n"/>
      <c r="P190" s="16">
        <f>IF(A190="","",IF(OR(COUNTIF($A$8:$A$207,A190)&lt;&gt;1,COUNTIF('公司'!$A$8:$A$207,C190)&lt;&gt;1,AND(D190&lt;&gt;"",COUNTIF('联系人'!$A$8:$A$207,D190)&lt;&gt;1),AND(E190&lt;&gt;"",COUNTIF('用胶项目'!$A$8:$A$207,E190)&lt;&gt;1),AND(N190&lt;&gt;"",COUNTIF('跟进待办'!$A$8:$A$207,N190)&lt;&gt;1)),"检查编号或关联","正常"))</f>
        <v/>
      </c>
    </row>
    <row r="191" ht="34" customHeight="1">
      <c r="A191" s="32" t="n"/>
      <c r="B191" s="33" t="n"/>
      <c r="C191" s="32" t="n"/>
      <c r="D191" s="32" t="n"/>
      <c r="E191" s="32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32" t="n"/>
      <c r="O191" s="10" t="n"/>
      <c r="P191" s="16">
        <f>IF(A191="","",IF(OR(COUNTIF($A$8:$A$207,A191)&lt;&gt;1,COUNTIF('公司'!$A$8:$A$207,C191)&lt;&gt;1,AND(D191&lt;&gt;"",COUNTIF('联系人'!$A$8:$A$207,D191)&lt;&gt;1),AND(E191&lt;&gt;"",COUNTIF('用胶项目'!$A$8:$A$207,E191)&lt;&gt;1),AND(N191&lt;&gt;"",COUNTIF('跟进待办'!$A$8:$A$207,N191)&lt;&gt;1)),"检查编号或关联","正常"))</f>
        <v/>
      </c>
    </row>
    <row r="192" ht="34" customHeight="1">
      <c r="A192" s="32" t="n"/>
      <c r="B192" s="33" t="n"/>
      <c r="C192" s="32" t="n"/>
      <c r="D192" s="32" t="n"/>
      <c r="E192" s="32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32" t="n"/>
      <c r="O192" s="10" t="n"/>
      <c r="P192" s="16">
        <f>IF(A192="","",IF(OR(COUNTIF($A$8:$A$207,A192)&lt;&gt;1,COUNTIF('公司'!$A$8:$A$207,C192)&lt;&gt;1,AND(D192&lt;&gt;"",COUNTIF('联系人'!$A$8:$A$207,D192)&lt;&gt;1),AND(E192&lt;&gt;"",COUNTIF('用胶项目'!$A$8:$A$207,E192)&lt;&gt;1),AND(N192&lt;&gt;"",COUNTIF('跟进待办'!$A$8:$A$207,N192)&lt;&gt;1)),"检查编号或关联","正常"))</f>
        <v/>
      </c>
    </row>
    <row r="193" ht="34" customHeight="1">
      <c r="A193" s="32" t="n"/>
      <c r="B193" s="33" t="n"/>
      <c r="C193" s="32" t="n"/>
      <c r="D193" s="32" t="n"/>
      <c r="E193" s="32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32" t="n"/>
      <c r="O193" s="10" t="n"/>
      <c r="P193" s="16">
        <f>IF(A193="","",IF(OR(COUNTIF($A$8:$A$207,A193)&lt;&gt;1,COUNTIF('公司'!$A$8:$A$207,C193)&lt;&gt;1,AND(D193&lt;&gt;"",COUNTIF('联系人'!$A$8:$A$207,D193)&lt;&gt;1),AND(E193&lt;&gt;"",COUNTIF('用胶项目'!$A$8:$A$207,E193)&lt;&gt;1),AND(N193&lt;&gt;"",COUNTIF('跟进待办'!$A$8:$A$207,N193)&lt;&gt;1)),"检查编号或关联","正常"))</f>
        <v/>
      </c>
    </row>
    <row r="194" ht="34" customHeight="1">
      <c r="A194" s="32" t="n"/>
      <c r="B194" s="33" t="n"/>
      <c r="C194" s="32" t="n"/>
      <c r="D194" s="32" t="n"/>
      <c r="E194" s="32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32" t="n"/>
      <c r="O194" s="10" t="n"/>
      <c r="P194" s="16">
        <f>IF(A194="","",IF(OR(COUNTIF($A$8:$A$207,A194)&lt;&gt;1,COUNTIF('公司'!$A$8:$A$207,C194)&lt;&gt;1,AND(D194&lt;&gt;"",COUNTIF('联系人'!$A$8:$A$207,D194)&lt;&gt;1),AND(E194&lt;&gt;"",COUNTIF('用胶项目'!$A$8:$A$207,E194)&lt;&gt;1),AND(N194&lt;&gt;"",COUNTIF('跟进待办'!$A$8:$A$207,N194)&lt;&gt;1)),"检查编号或关联","正常"))</f>
        <v/>
      </c>
    </row>
    <row r="195" ht="34" customHeight="1">
      <c r="A195" s="32" t="n"/>
      <c r="B195" s="33" t="n"/>
      <c r="C195" s="32" t="n"/>
      <c r="D195" s="32" t="n"/>
      <c r="E195" s="32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32" t="n"/>
      <c r="O195" s="10" t="n"/>
      <c r="P195" s="16">
        <f>IF(A195="","",IF(OR(COUNTIF($A$8:$A$207,A195)&lt;&gt;1,COUNTIF('公司'!$A$8:$A$207,C195)&lt;&gt;1,AND(D195&lt;&gt;"",COUNTIF('联系人'!$A$8:$A$207,D195)&lt;&gt;1),AND(E195&lt;&gt;"",COUNTIF('用胶项目'!$A$8:$A$207,E195)&lt;&gt;1),AND(N195&lt;&gt;"",COUNTIF('跟进待办'!$A$8:$A$207,N195)&lt;&gt;1)),"检查编号或关联","正常"))</f>
        <v/>
      </c>
    </row>
    <row r="196" ht="34" customHeight="1">
      <c r="A196" s="32" t="n"/>
      <c r="B196" s="33" t="n"/>
      <c r="C196" s="32" t="n"/>
      <c r="D196" s="32" t="n"/>
      <c r="E196" s="32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32" t="n"/>
      <c r="O196" s="10" t="n"/>
      <c r="P196" s="16">
        <f>IF(A196="","",IF(OR(COUNTIF($A$8:$A$207,A196)&lt;&gt;1,COUNTIF('公司'!$A$8:$A$207,C196)&lt;&gt;1,AND(D196&lt;&gt;"",COUNTIF('联系人'!$A$8:$A$207,D196)&lt;&gt;1),AND(E196&lt;&gt;"",COUNTIF('用胶项目'!$A$8:$A$207,E196)&lt;&gt;1),AND(N196&lt;&gt;"",COUNTIF('跟进待办'!$A$8:$A$207,N196)&lt;&gt;1)),"检查编号或关联","正常"))</f>
        <v/>
      </c>
    </row>
    <row r="197" ht="34" customHeight="1">
      <c r="A197" s="32" t="n"/>
      <c r="B197" s="33" t="n"/>
      <c r="C197" s="32" t="n"/>
      <c r="D197" s="32" t="n"/>
      <c r="E197" s="32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32" t="n"/>
      <c r="O197" s="10" t="n"/>
      <c r="P197" s="16">
        <f>IF(A197="","",IF(OR(COUNTIF($A$8:$A$207,A197)&lt;&gt;1,COUNTIF('公司'!$A$8:$A$207,C197)&lt;&gt;1,AND(D197&lt;&gt;"",COUNTIF('联系人'!$A$8:$A$207,D197)&lt;&gt;1),AND(E197&lt;&gt;"",COUNTIF('用胶项目'!$A$8:$A$207,E197)&lt;&gt;1),AND(N197&lt;&gt;"",COUNTIF('跟进待办'!$A$8:$A$207,N197)&lt;&gt;1)),"检查编号或关联","正常"))</f>
        <v/>
      </c>
    </row>
    <row r="198" ht="34" customHeight="1">
      <c r="A198" s="32" t="n"/>
      <c r="B198" s="33" t="n"/>
      <c r="C198" s="32" t="n"/>
      <c r="D198" s="32" t="n"/>
      <c r="E198" s="32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32" t="n"/>
      <c r="O198" s="10" t="n"/>
      <c r="P198" s="16">
        <f>IF(A198="","",IF(OR(COUNTIF($A$8:$A$207,A198)&lt;&gt;1,COUNTIF('公司'!$A$8:$A$207,C198)&lt;&gt;1,AND(D198&lt;&gt;"",COUNTIF('联系人'!$A$8:$A$207,D198)&lt;&gt;1),AND(E198&lt;&gt;"",COUNTIF('用胶项目'!$A$8:$A$207,E198)&lt;&gt;1),AND(N198&lt;&gt;"",COUNTIF('跟进待办'!$A$8:$A$207,N198)&lt;&gt;1)),"检查编号或关联","正常"))</f>
        <v/>
      </c>
    </row>
    <row r="199" ht="34" customHeight="1">
      <c r="A199" s="32" t="n"/>
      <c r="B199" s="33" t="n"/>
      <c r="C199" s="32" t="n"/>
      <c r="D199" s="32" t="n"/>
      <c r="E199" s="32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32" t="n"/>
      <c r="O199" s="10" t="n"/>
      <c r="P199" s="16">
        <f>IF(A199="","",IF(OR(COUNTIF($A$8:$A$207,A199)&lt;&gt;1,COUNTIF('公司'!$A$8:$A$207,C199)&lt;&gt;1,AND(D199&lt;&gt;"",COUNTIF('联系人'!$A$8:$A$207,D199)&lt;&gt;1),AND(E199&lt;&gt;"",COUNTIF('用胶项目'!$A$8:$A$207,E199)&lt;&gt;1),AND(N199&lt;&gt;"",COUNTIF('跟进待办'!$A$8:$A$207,N199)&lt;&gt;1)),"检查编号或关联","正常"))</f>
        <v/>
      </c>
    </row>
    <row r="200" ht="34" customHeight="1">
      <c r="A200" s="32" t="n"/>
      <c r="B200" s="33" t="n"/>
      <c r="C200" s="32" t="n"/>
      <c r="D200" s="32" t="n"/>
      <c r="E200" s="32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32" t="n"/>
      <c r="O200" s="10" t="n"/>
      <c r="P200" s="16">
        <f>IF(A200="","",IF(OR(COUNTIF($A$8:$A$207,A200)&lt;&gt;1,COUNTIF('公司'!$A$8:$A$207,C200)&lt;&gt;1,AND(D200&lt;&gt;"",COUNTIF('联系人'!$A$8:$A$207,D200)&lt;&gt;1),AND(E200&lt;&gt;"",COUNTIF('用胶项目'!$A$8:$A$207,E200)&lt;&gt;1),AND(N200&lt;&gt;"",COUNTIF('跟进待办'!$A$8:$A$207,N200)&lt;&gt;1)),"检查编号或关联","正常"))</f>
        <v/>
      </c>
    </row>
    <row r="201" ht="34" customHeight="1">
      <c r="A201" s="32" t="n"/>
      <c r="B201" s="33" t="n"/>
      <c r="C201" s="32" t="n"/>
      <c r="D201" s="32" t="n"/>
      <c r="E201" s="32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32" t="n"/>
      <c r="O201" s="10" t="n"/>
      <c r="P201" s="16">
        <f>IF(A201="","",IF(OR(COUNTIF($A$8:$A$207,A201)&lt;&gt;1,COUNTIF('公司'!$A$8:$A$207,C201)&lt;&gt;1,AND(D201&lt;&gt;"",COUNTIF('联系人'!$A$8:$A$207,D201)&lt;&gt;1),AND(E201&lt;&gt;"",COUNTIF('用胶项目'!$A$8:$A$207,E201)&lt;&gt;1),AND(N201&lt;&gt;"",COUNTIF('跟进待办'!$A$8:$A$207,N201)&lt;&gt;1)),"检查编号或关联","正常"))</f>
        <v/>
      </c>
    </row>
    <row r="202" ht="34" customHeight="1">
      <c r="A202" s="32" t="n"/>
      <c r="B202" s="33" t="n"/>
      <c r="C202" s="32" t="n"/>
      <c r="D202" s="32" t="n"/>
      <c r="E202" s="32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32" t="n"/>
      <c r="O202" s="10" t="n"/>
      <c r="P202" s="16">
        <f>IF(A202="","",IF(OR(COUNTIF($A$8:$A$207,A202)&lt;&gt;1,COUNTIF('公司'!$A$8:$A$207,C202)&lt;&gt;1,AND(D202&lt;&gt;"",COUNTIF('联系人'!$A$8:$A$207,D202)&lt;&gt;1),AND(E202&lt;&gt;"",COUNTIF('用胶项目'!$A$8:$A$207,E202)&lt;&gt;1),AND(N202&lt;&gt;"",COUNTIF('跟进待办'!$A$8:$A$207,N202)&lt;&gt;1)),"检查编号或关联","正常"))</f>
        <v/>
      </c>
    </row>
    <row r="203" ht="34" customHeight="1">
      <c r="A203" s="32" t="n"/>
      <c r="B203" s="33" t="n"/>
      <c r="C203" s="32" t="n"/>
      <c r="D203" s="32" t="n"/>
      <c r="E203" s="32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32" t="n"/>
      <c r="O203" s="10" t="n"/>
      <c r="P203" s="16">
        <f>IF(A203="","",IF(OR(COUNTIF($A$8:$A$207,A203)&lt;&gt;1,COUNTIF('公司'!$A$8:$A$207,C203)&lt;&gt;1,AND(D203&lt;&gt;"",COUNTIF('联系人'!$A$8:$A$207,D203)&lt;&gt;1),AND(E203&lt;&gt;"",COUNTIF('用胶项目'!$A$8:$A$207,E203)&lt;&gt;1),AND(N203&lt;&gt;"",COUNTIF('跟进待办'!$A$8:$A$207,N203)&lt;&gt;1)),"检查编号或关联","正常"))</f>
        <v/>
      </c>
    </row>
    <row r="204" ht="34" customHeight="1">
      <c r="A204" s="32" t="n"/>
      <c r="B204" s="33" t="n"/>
      <c r="C204" s="32" t="n"/>
      <c r="D204" s="32" t="n"/>
      <c r="E204" s="32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32" t="n"/>
      <c r="O204" s="10" t="n"/>
      <c r="P204" s="16">
        <f>IF(A204="","",IF(OR(COUNTIF($A$8:$A$207,A204)&lt;&gt;1,COUNTIF('公司'!$A$8:$A$207,C204)&lt;&gt;1,AND(D204&lt;&gt;"",COUNTIF('联系人'!$A$8:$A$207,D204)&lt;&gt;1),AND(E204&lt;&gt;"",COUNTIF('用胶项目'!$A$8:$A$207,E204)&lt;&gt;1),AND(N204&lt;&gt;"",COUNTIF('跟进待办'!$A$8:$A$207,N204)&lt;&gt;1)),"检查编号或关联","正常"))</f>
        <v/>
      </c>
    </row>
    <row r="205" ht="34" customHeight="1">
      <c r="A205" s="32" t="n"/>
      <c r="B205" s="33" t="n"/>
      <c r="C205" s="32" t="n"/>
      <c r="D205" s="32" t="n"/>
      <c r="E205" s="32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32" t="n"/>
      <c r="O205" s="10" t="n"/>
      <c r="P205" s="16">
        <f>IF(A205="","",IF(OR(COUNTIF($A$8:$A$207,A205)&lt;&gt;1,COUNTIF('公司'!$A$8:$A$207,C205)&lt;&gt;1,AND(D205&lt;&gt;"",COUNTIF('联系人'!$A$8:$A$207,D205)&lt;&gt;1),AND(E205&lt;&gt;"",COUNTIF('用胶项目'!$A$8:$A$207,E205)&lt;&gt;1),AND(N205&lt;&gt;"",COUNTIF('跟进待办'!$A$8:$A$207,N205)&lt;&gt;1)),"检查编号或关联","正常"))</f>
        <v/>
      </c>
    </row>
    <row r="206" ht="34" customHeight="1">
      <c r="A206" s="32" t="n"/>
      <c r="B206" s="33" t="n"/>
      <c r="C206" s="32" t="n"/>
      <c r="D206" s="32" t="n"/>
      <c r="E206" s="32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32" t="n"/>
      <c r="O206" s="10" t="n"/>
      <c r="P206" s="16">
        <f>IF(A206="","",IF(OR(COUNTIF($A$8:$A$207,A206)&lt;&gt;1,COUNTIF('公司'!$A$8:$A$207,C206)&lt;&gt;1,AND(D206&lt;&gt;"",COUNTIF('联系人'!$A$8:$A$207,D206)&lt;&gt;1),AND(E206&lt;&gt;"",COUNTIF('用胶项目'!$A$8:$A$207,E206)&lt;&gt;1),AND(N206&lt;&gt;"",COUNTIF('跟进待办'!$A$8:$A$207,N206)&lt;&gt;1)),"检查编号或关联","正常"))</f>
        <v/>
      </c>
    </row>
    <row r="207" ht="34" customHeight="1">
      <c r="A207" s="32" t="n"/>
      <c r="B207" s="33" t="n"/>
      <c r="C207" s="32" t="n"/>
      <c r="D207" s="32" t="n"/>
      <c r="E207" s="32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32" t="n"/>
      <c r="O207" s="10" t="n"/>
      <c r="P207" s="16">
        <f>IF(A207="","",IF(OR(COUNTIF($A$8:$A$207,A207)&lt;&gt;1,COUNTIF('公司'!$A$8:$A$207,C207)&lt;&gt;1,AND(D207&lt;&gt;"",COUNTIF('联系人'!$A$8:$A$207,D207)&lt;&gt;1),AND(E207&lt;&gt;"",COUNTIF('用胶项目'!$A$8:$A$207,E207)&lt;&gt;1),AND(N207&lt;&gt;"",COUNTIF('跟进待办'!$A$8:$A$207,N207)&lt;&gt;1)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P8:P207">
    <cfRule type="containsText" priority="2" operator="containsText" dxfId="0" text="检查"/>
  </conditionalFormatting>
  <dataValidations count="2">
    <dataValidation sqref="F8:F207" showDropDown="0" showInputMessage="0" showErrorMessage="0" allowBlank="0" type="list">
      <formula1>"面访,电话,微信,邮件,社交媒体,视频会议,其他"</formula1>
    </dataValidation>
    <dataValidation sqref="G8:G207" showDropDown="0" showInputMessage="0" showErrorMessage="0" allowBlank="0" type="list">
      <formula1>"主谈,协同,旁听"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8297AA"/>
    <outlinePr summaryBelow="1" summaryRight="1"/>
    <pageSetUpPr/>
  </sheetPr>
  <dimension ref="A1:V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36" customWidth="1" min="8" max="8"/>
    <col width="19" customWidth="1" min="9" max="9"/>
    <col width="16" customWidth="1" min="10" max="10"/>
    <col width="19" customWidth="1" min="11" max="11"/>
    <col width="16" customWidth="1" min="12" max="12"/>
    <col width="19" customWidth="1" min="13" max="13"/>
    <col width="16" customWidth="1" min="14" max="14"/>
    <col width="36" customWidth="1" min="15" max="15"/>
    <col width="36" customWidth="1" min="16" max="16"/>
    <col width="19" customWidth="1" min="17" max="17"/>
    <col width="36" customWidth="1" min="18" max="18"/>
    <col width="36" customWidth="1" min="19" max="19"/>
    <col width="19" customWidth="1" min="20" max="20"/>
    <col width="36" customWidth="1" min="21" max="21"/>
    <col width="19" customWidth="1" min="22" max="22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34" customHeight="1">
      <c r="A2" s="4" t="inlineStr">
        <is>
          <t>样品测试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5" t="inlineStr">
        <is>
          <t>一行一个项目的一种样品批次。更换型号或补寄新批次另起一行；寄出、签收与测试结果分别记录。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100" customHeight="1">
      <c r="A5" s="7" t="inlineStr">
        <is>
          <t>S示例001</t>
        </is>
      </c>
      <c r="B5" s="7" t="inlineStr">
        <is>
          <t>J示例001</t>
        </is>
      </c>
      <c r="C5" s="7" t="inlineStr">
        <is>
          <t>C示例001</t>
        </is>
      </c>
      <c r="D5" s="7" t="inlineStr">
        <is>
          <t>P示例001</t>
        </is>
      </c>
      <c r="E5" s="7" t="inlineStr">
        <is>
          <t>待确认</t>
        </is>
      </c>
      <c r="F5" s="35" t="n">
        <v>0.5</v>
      </c>
      <c r="G5" s="7" t="inlineStr">
        <is>
          <t>kg</t>
        </is>
      </c>
      <c r="H5" s="7" t="inlineStr">
        <is>
          <t>虚构数量，仅示范格式，实际由测试需求确认</t>
        </is>
      </c>
      <c r="I5" s="7" t="str"/>
      <c r="J5" s="29" t="str"/>
      <c r="K5" s="7" t="str"/>
      <c r="L5" s="29" t="str"/>
      <c r="M5" s="7" t="inlineStr">
        <is>
          <t>P示例001</t>
        </is>
      </c>
      <c r="N5" s="29" t="str"/>
      <c r="O5" s="7" t="inlineStr">
        <is>
          <t>待确认</t>
        </is>
      </c>
      <c r="P5" s="7" t="inlineStr">
        <is>
          <t>未确认</t>
        </is>
      </c>
      <c r="Q5" s="7" t="inlineStr">
        <is>
          <t>待确认</t>
        </is>
      </c>
      <c r="R5" s="7" t="str"/>
      <c r="S5" s="7" t="inlineStr">
        <is>
          <t>先确认型号和实际测试用量</t>
        </is>
      </c>
      <c r="T5" s="7" t="inlineStr">
        <is>
          <t>T示例001</t>
        </is>
      </c>
      <c r="U5" s="7" t="inlineStr">
        <is>
          <t>V示例001</t>
        </is>
      </c>
      <c r="V5" s="7" t="inlineStr">
        <is>
          <t>示例</t>
        </is>
      </c>
    </row>
    <row r="6" ht="34" customHeight="1">
      <c r="A6" s="3" t="n"/>
      <c r="B6" s="3" t="n"/>
      <c r="C6" s="3" t="n"/>
      <c r="D6" s="3" t="n"/>
      <c r="E6" s="3" t="n"/>
      <c r="F6" s="36" t="n"/>
      <c r="G6" s="3" t="n"/>
      <c r="H6" s="3" t="n"/>
      <c r="I6" s="3" t="n"/>
      <c r="J6" s="30" t="n"/>
      <c r="K6" s="3" t="n"/>
      <c r="L6" s="30" t="n"/>
      <c r="M6" s="3" t="n"/>
      <c r="N6" s="30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42" customHeight="1">
      <c r="A7" s="9" t="inlineStr">
        <is>
          <t>样品编号</t>
        </is>
      </c>
      <c r="B7" s="9" t="inlineStr">
        <is>
          <t>项目编号</t>
        </is>
      </c>
      <c r="C7" s="9" t="inlineStr">
        <is>
          <t>公司编号〔自动〕</t>
        </is>
      </c>
      <c r="D7" s="9" t="inlineStr">
        <is>
          <t>收件联系人编号</t>
        </is>
      </c>
      <c r="E7" s="9" t="inlineStr">
        <is>
          <t>完整型号</t>
        </is>
      </c>
      <c r="F7" s="37" t="inlineStr">
        <is>
          <t>数量</t>
        </is>
      </c>
      <c r="G7" s="9" t="inlineStr">
        <is>
          <t>单位</t>
        </is>
      </c>
      <c r="H7" s="9" t="inlineStr">
        <is>
          <t>数量依据与确认人</t>
        </is>
      </c>
      <c r="I7" s="9" t="inlineStr">
        <is>
          <t>样品批次</t>
        </is>
      </c>
      <c r="J7" s="31" t="inlineStr">
        <is>
          <t>寄出日期</t>
        </is>
      </c>
      <c r="K7" s="9" t="inlineStr">
        <is>
          <t>快递单号</t>
        </is>
      </c>
      <c r="L7" s="31" t="inlineStr">
        <is>
          <t>签收日期</t>
        </is>
      </c>
      <c r="M7" s="9" t="inlineStr">
        <is>
          <t>测试负责人编号</t>
        </is>
      </c>
      <c r="N7" s="31" t="inlineStr">
        <is>
          <t>约定反馈日期</t>
        </is>
      </c>
      <c r="O7" s="9" t="inlineStr">
        <is>
          <t>日期依据</t>
        </is>
      </c>
      <c r="P7" s="9" t="inlineStr">
        <is>
          <t>测试项目及合格标准</t>
        </is>
      </c>
      <c r="Q7" s="9" t="inlineStr">
        <is>
          <t>状态</t>
        </is>
      </c>
      <c r="R7" s="9" t="inlineStr">
        <is>
          <t>测试结果与证据</t>
        </is>
      </c>
      <c r="S7" s="9" t="inlineStr">
        <is>
          <t>问题与下一步</t>
        </is>
      </c>
      <c r="T7" s="9" t="inlineStr">
        <is>
          <t>任务编号</t>
        </is>
      </c>
      <c r="U7" s="9" t="inlineStr">
        <is>
          <t>来源沟通编号</t>
        </is>
      </c>
      <c r="V7" s="9" t="inlineStr">
        <is>
          <t>关联检查〔自动〕</t>
        </is>
      </c>
    </row>
    <row r="8" ht="34" customHeight="1">
      <c r="A8" s="32" t="n"/>
      <c r="B8" s="32" t="n"/>
      <c r="C8" s="34">
        <f>IF(B8="","",IF(COUNTIF('用胶项目'!$A$8:$A$207,B8)&lt;&gt;1,"编号缺失或重复",INDEX('用胶项目'!$B$8:$B$207,MATCH(B8,'用胶项目'!$A$8:$A$207,0))))</f>
        <v/>
      </c>
      <c r="D8" s="32" t="n"/>
      <c r="E8" s="10" t="n"/>
      <c r="F8" s="38" t="n"/>
      <c r="G8" s="10" t="n"/>
      <c r="H8" s="10" t="n"/>
      <c r="I8" s="10" t="n"/>
      <c r="J8" s="33" t="n"/>
      <c r="K8" s="32" t="n"/>
      <c r="L8" s="33" t="n"/>
      <c r="M8" s="32" t="n"/>
      <c r="N8" s="33" t="n"/>
      <c r="O8" s="10" t="n"/>
      <c r="P8" s="10" t="n"/>
      <c r="Q8" s="10" t="n"/>
      <c r="R8" s="10" t="n"/>
      <c r="S8" s="10" t="n"/>
      <c r="T8" s="32" t="n"/>
      <c r="U8" s="32" t="n"/>
      <c r="V8" s="16">
        <f>IF(A8="","",IF(OR(COUNTIF($A$8:$A$207,A8)&lt;&gt;1,COUNTIF('用胶项目'!$A$8:$A$207,B8)&lt;&gt;1,AND(D8&lt;&gt;"",COUNTIF('联系人'!$A$8:$A$207,D8)&lt;&gt;1),AND(M8&lt;&gt;"",COUNTIF('联系人'!$A$8:$A$207,M8)&lt;&gt;1),AND(T8&lt;&gt;"",COUNTIF('跟进待办'!$A$8:$A$207,T8)&lt;&gt;1),AND(U8&lt;&gt;"",COUNTIF('沟通记录'!$A$8:$A$207,U8)&lt;&gt;1)),"检查编号或关联","正常"))</f>
        <v/>
      </c>
    </row>
    <row r="9" ht="34" customHeight="1">
      <c r="A9" s="32" t="n"/>
      <c r="B9" s="32" t="n"/>
      <c r="C9" s="34">
        <f>IF(B9="","",IF(COUNTIF('用胶项目'!$A$8:$A$207,B9)&lt;&gt;1,"编号缺失或重复",INDEX('用胶项目'!$B$8:$B$207,MATCH(B9,'用胶项目'!$A$8:$A$207,0))))</f>
        <v/>
      </c>
      <c r="D9" s="32" t="n"/>
      <c r="E9" s="10" t="n"/>
      <c r="F9" s="38" t="n"/>
      <c r="G9" s="10" t="n"/>
      <c r="H9" s="10" t="n"/>
      <c r="I9" s="10" t="n"/>
      <c r="J9" s="33" t="n"/>
      <c r="K9" s="32" t="n"/>
      <c r="L9" s="33" t="n"/>
      <c r="M9" s="32" t="n"/>
      <c r="N9" s="33" t="n"/>
      <c r="O9" s="10" t="n"/>
      <c r="P9" s="10" t="n"/>
      <c r="Q9" s="10" t="n"/>
      <c r="R9" s="10" t="n"/>
      <c r="S9" s="10" t="n"/>
      <c r="T9" s="32" t="n"/>
      <c r="U9" s="32" t="n"/>
      <c r="V9" s="16">
        <f>IF(A9="","",IF(OR(COUNTIF($A$8:$A$207,A9)&lt;&gt;1,COUNTIF('用胶项目'!$A$8:$A$207,B9)&lt;&gt;1,AND(D9&lt;&gt;"",COUNTIF('联系人'!$A$8:$A$207,D9)&lt;&gt;1),AND(M9&lt;&gt;"",COUNTIF('联系人'!$A$8:$A$207,M9)&lt;&gt;1),AND(T9&lt;&gt;"",COUNTIF('跟进待办'!$A$8:$A$207,T9)&lt;&gt;1),AND(U9&lt;&gt;"",COUNTIF('沟通记录'!$A$8:$A$207,U9)&lt;&gt;1)),"检查编号或关联","正常"))</f>
        <v/>
      </c>
    </row>
    <row r="10" ht="34" customHeight="1">
      <c r="A10" s="32" t="n"/>
      <c r="B10" s="32" t="n"/>
      <c r="C10" s="34">
        <f>IF(B10="","",IF(COUNTIF('用胶项目'!$A$8:$A$207,B10)&lt;&gt;1,"编号缺失或重复",INDEX('用胶项目'!$B$8:$B$207,MATCH(B10,'用胶项目'!$A$8:$A$207,0))))</f>
        <v/>
      </c>
      <c r="D10" s="32" t="n"/>
      <c r="E10" s="10" t="n"/>
      <c r="F10" s="38" t="n"/>
      <c r="G10" s="10" t="n"/>
      <c r="H10" s="10" t="n"/>
      <c r="I10" s="10" t="n"/>
      <c r="J10" s="33" t="n"/>
      <c r="K10" s="32" t="n"/>
      <c r="L10" s="33" t="n"/>
      <c r="M10" s="32" t="n"/>
      <c r="N10" s="33" t="n"/>
      <c r="O10" s="10" t="n"/>
      <c r="P10" s="10" t="n"/>
      <c r="Q10" s="10" t="n"/>
      <c r="R10" s="10" t="n"/>
      <c r="S10" s="10" t="n"/>
      <c r="T10" s="32" t="n"/>
      <c r="U10" s="32" t="n"/>
      <c r="V10" s="16">
        <f>IF(A10="","",IF(OR(COUNTIF($A$8:$A$207,A10)&lt;&gt;1,COUNTIF('用胶项目'!$A$8:$A$207,B10)&lt;&gt;1,AND(D10&lt;&gt;"",COUNTIF('联系人'!$A$8:$A$207,D10)&lt;&gt;1),AND(M10&lt;&gt;"",COUNTIF('联系人'!$A$8:$A$207,M10)&lt;&gt;1),AND(T10&lt;&gt;"",COUNTIF('跟进待办'!$A$8:$A$207,T10)&lt;&gt;1),AND(U10&lt;&gt;"",COUNTIF('沟通记录'!$A$8:$A$207,U10)&lt;&gt;1)),"检查编号或关联","正常"))</f>
        <v/>
      </c>
    </row>
    <row r="11" ht="34" customHeight="1">
      <c r="A11" s="32" t="n"/>
      <c r="B11" s="32" t="n"/>
      <c r="C11" s="34">
        <f>IF(B11="","",IF(COUNTIF('用胶项目'!$A$8:$A$207,B11)&lt;&gt;1,"编号缺失或重复",INDEX('用胶项目'!$B$8:$B$207,MATCH(B11,'用胶项目'!$A$8:$A$207,0))))</f>
        <v/>
      </c>
      <c r="D11" s="32" t="n"/>
      <c r="E11" s="10" t="n"/>
      <c r="F11" s="38" t="n"/>
      <c r="G11" s="10" t="n"/>
      <c r="H11" s="10" t="n"/>
      <c r="I11" s="10" t="n"/>
      <c r="J11" s="33" t="n"/>
      <c r="K11" s="32" t="n"/>
      <c r="L11" s="33" t="n"/>
      <c r="M11" s="32" t="n"/>
      <c r="N11" s="33" t="n"/>
      <c r="O11" s="10" t="n"/>
      <c r="P11" s="10" t="n"/>
      <c r="Q11" s="10" t="n"/>
      <c r="R11" s="10" t="n"/>
      <c r="S11" s="10" t="n"/>
      <c r="T11" s="32" t="n"/>
      <c r="U11" s="32" t="n"/>
      <c r="V11" s="16">
        <f>IF(A11="","",IF(OR(COUNTIF($A$8:$A$207,A11)&lt;&gt;1,COUNTIF('用胶项目'!$A$8:$A$207,B11)&lt;&gt;1,AND(D11&lt;&gt;"",COUNTIF('联系人'!$A$8:$A$207,D11)&lt;&gt;1),AND(M11&lt;&gt;"",COUNTIF('联系人'!$A$8:$A$207,M11)&lt;&gt;1),AND(T11&lt;&gt;"",COUNTIF('跟进待办'!$A$8:$A$207,T11)&lt;&gt;1),AND(U11&lt;&gt;"",COUNTIF('沟通记录'!$A$8:$A$207,U11)&lt;&gt;1)),"检查编号或关联","正常"))</f>
        <v/>
      </c>
    </row>
    <row r="12" ht="34" customHeight="1">
      <c r="A12" s="32" t="n"/>
      <c r="B12" s="32" t="n"/>
      <c r="C12" s="34">
        <f>IF(B12="","",IF(COUNTIF('用胶项目'!$A$8:$A$207,B12)&lt;&gt;1,"编号缺失或重复",INDEX('用胶项目'!$B$8:$B$207,MATCH(B12,'用胶项目'!$A$8:$A$207,0))))</f>
        <v/>
      </c>
      <c r="D12" s="32" t="n"/>
      <c r="E12" s="10" t="n"/>
      <c r="F12" s="38" t="n"/>
      <c r="G12" s="10" t="n"/>
      <c r="H12" s="10" t="n"/>
      <c r="I12" s="10" t="n"/>
      <c r="J12" s="33" t="n"/>
      <c r="K12" s="32" t="n"/>
      <c r="L12" s="33" t="n"/>
      <c r="M12" s="32" t="n"/>
      <c r="N12" s="33" t="n"/>
      <c r="O12" s="10" t="n"/>
      <c r="P12" s="10" t="n"/>
      <c r="Q12" s="10" t="n"/>
      <c r="R12" s="10" t="n"/>
      <c r="S12" s="10" t="n"/>
      <c r="T12" s="32" t="n"/>
      <c r="U12" s="32" t="n"/>
      <c r="V12" s="16">
        <f>IF(A12="","",IF(OR(COUNTIF($A$8:$A$207,A12)&lt;&gt;1,COUNTIF('用胶项目'!$A$8:$A$207,B12)&lt;&gt;1,AND(D12&lt;&gt;"",COUNTIF('联系人'!$A$8:$A$207,D12)&lt;&gt;1),AND(M12&lt;&gt;"",COUNTIF('联系人'!$A$8:$A$207,M12)&lt;&gt;1),AND(T12&lt;&gt;"",COUNTIF('跟进待办'!$A$8:$A$207,T12)&lt;&gt;1),AND(U12&lt;&gt;"",COUNTIF('沟通记录'!$A$8:$A$207,U12)&lt;&gt;1)),"检查编号或关联","正常"))</f>
        <v/>
      </c>
    </row>
    <row r="13" ht="34" customHeight="1">
      <c r="A13" s="32" t="n"/>
      <c r="B13" s="32" t="n"/>
      <c r="C13" s="34">
        <f>IF(B13="","",IF(COUNTIF('用胶项目'!$A$8:$A$207,B13)&lt;&gt;1,"编号缺失或重复",INDEX('用胶项目'!$B$8:$B$207,MATCH(B13,'用胶项目'!$A$8:$A$207,0))))</f>
        <v/>
      </c>
      <c r="D13" s="32" t="n"/>
      <c r="E13" s="10" t="n"/>
      <c r="F13" s="38" t="n"/>
      <c r="G13" s="10" t="n"/>
      <c r="H13" s="10" t="n"/>
      <c r="I13" s="10" t="n"/>
      <c r="J13" s="33" t="n"/>
      <c r="K13" s="32" t="n"/>
      <c r="L13" s="33" t="n"/>
      <c r="M13" s="32" t="n"/>
      <c r="N13" s="33" t="n"/>
      <c r="O13" s="10" t="n"/>
      <c r="P13" s="10" t="n"/>
      <c r="Q13" s="10" t="n"/>
      <c r="R13" s="10" t="n"/>
      <c r="S13" s="10" t="n"/>
      <c r="T13" s="32" t="n"/>
      <c r="U13" s="32" t="n"/>
      <c r="V13" s="16">
        <f>IF(A13="","",IF(OR(COUNTIF($A$8:$A$207,A13)&lt;&gt;1,COUNTIF('用胶项目'!$A$8:$A$207,B13)&lt;&gt;1,AND(D13&lt;&gt;"",COUNTIF('联系人'!$A$8:$A$207,D13)&lt;&gt;1),AND(M13&lt;&gt;"",COUNTIF('联系人'!$A$8:$A$207,M13)&lt;&gt;1),AND(T13&lt;&gt;"",COUNTIF('跟进待办'!$A$8:$A$207,T13)&lt;&gt;1),AND(U13&lt;&gt;"",COUNTIF('沟通记录'!$A$8:$A$207,U13)&lt;&gt;1)),"检查编号或关联","正常"))</f>
        <v/>
      </c>
    </row>
    <row r="14" ht="34" customHeight="1">
      <c r="A14" s="32" t="n"/>
      <c r="B14" s="32" t="n"/>
      <c r="C14" s="34">
        <f>IF(B14="","",IF(COUNTIF('用胶项目'!$A$8:$A$207,B14)&lt;&gt;1,"编号缺失或重复",INDEX('用胶项目'!$B$8:$B$207,MATCH(B14,'用胶项目'!$A$8:$A$207,0))))</f>
        <v/>
      </c>
      <c r="D14" s="32" t="n"/>
      <c r="E14" s="10" t="n"/>
      <c r="F14" s="38" t="n"/>
      <c r="G14" s="10" t="n"/>
      <c r="H14" s="10" t="n"/>
      <c r="I14" s="10" t="n"/>
      <c r="J14" s="33" t="n"/>
      <c r="K14" s="32" t="n"/>
      <c r="L14" s="33" t="n"/>
      <c r="M14" s="32" t="n"/>
      <c r="N14" s="33" t="n"/>
      <c r="O14" s="10" t="n"/>
      <c r="P14" s="10" t="n"/>
      <c r="Q14" s="10" t="n"/>
      <c r="R14" s="10" t="n"/>
      <c r="S14" s="10" t="n"/>
      <c r="T14" s="32" t="n"/>
      <c r="U14" s="32" t="n"/>
      <c r="V14" s="16">
        <f>IF(A14="","",IF(OR(COUNTIF($A$8:$A$207,A14)&lt;&gt;1,COUNTIF('用胶项目'!$A$8:$A$207,B14)&lt;&gt;1,AND(D14&lt;&gt;"",COUNTIF('联系人'!$A$8:$A$207,D14)&lt;&gt;1),AND(M14&lt;&gt;"",COUNTIF('联系人'!$A$8:$A$207,M14)&lt;&gt;1),AND(T14&lt;&gt;"",COUNTIF('跟进待办'!$A$8:$A$207,T14)&lt;&gt;1),AND(U14&lt;&gt;"",COUNTIF('沟通记录'!$A$8:$A$207,U14)&lt;&gt;1)),"检查编号或关联","正常"))</f>
        <v/>
      </c>
    </row>
    <row r="15" ht="34" customHeight="1">
      <c r="A15" s="32" t="n"/>
      <c r="B15" s="32" t="n"/>
      <c r="C15" s="34">
        <f>IF(B15="","",IF(COUNTIF('用胶项目'!$A$8:$A$207,B15)&lt;&gt;1,"编号缺失或重复",INDEX('用胶项目'!$B$8:$B$207,MATCH(B15,'用胶项目'!$A$8:$A$207,0))))</f>
        <v/>
      </c>
      <c r="D15" s="32" t="n"/>
      <c r="E15" s="10" t="n"/>
      <c r="F15" s="38" t="n"/>
      <c r="G15" s="10" t="n"/>
      <c r="H15" s="10" t="n"/>
      <c r="I15" s="10" t="n"/>
      <c r="J15" s="33" t="n"/>
      <c r="K15" s="32" t="n"/>
      <c r="L15" s="33" t="n"/>
      <c r="M15" s="32" t="n"/>
      <c r="N15" s="33" t="n"/>
      <c r="O15" s="10" t="n"/>
      <c r="P15" s="10" t="n"/>
      <c r="Q15" s="10" t="n"/>
      <c r="R15" s="10" t="n"/>
      <c r="S15" s="10" t="n"/>
      <c r="T15" s="32" t="n"/>
      <c r="U15" s="32" t="n"/>
      <c r="V15" s="16">
        <f>IF(A15="","",IF(OR(COUNTIF($A$8:$A$207,A15)&lt;&gt;1,COUNTIF('用胶项目'!$A$8:$A$207,B15)&lt;&gt;1,AND(D15&lt;&gt;"",COUNTIF('联系人'!$A$8:$A$207,D15)&lt;&gt;1),AND(M15&lt;&gt;"",COUNTIF('联系人'!$A$8:$A$207,M15)&lt;&gt;1),AND(T15&lt;&gt;"",COUNTIF('跟进待办'!$A$8:$A$207,T15)&lt;&gt;1),AND(U15&lt;&gt;"",COUNTIF('沟通记录'!$A$8:$A$207,U15)&lt;&gt;1)),"检查编号或关联","正常"))</f>
        <v/>
      </c>
    </row>
    <row r="16" ht="34" customHeight="1">
      <c r="A16" s="32" t="n"/>
      <c r="B16" s="32" t="n"/>
      <c r="C16" s="34">
        <f>IF(B16="","",IF(COUNTIF('用胶项目'!$A$8:$A$207,B16)&lt;&gt;1,"编号缺失或重复",INDEX('用胶项目'!$B$8:$B$207,MATCH(B16,'用胶项目'!$A$8:$A$207,0))))</f>
        <v/>
      </c>
      <c r="D16" s="32" t="n"/>
      <c r="E16" s="10" t="n"/>
      <c r="F16" s="38" t="n"/>
      <c r="G16" s="10" t="n"/>
      <c r="H16" s="10" t="n"/>
      <c r="I16" s="10" t="n"/>
      <c r="J16" s="33" t="n"/>
      <c r="K16" s="32" t="n"/>
      <c r="L16" s="33" t="n"/>
      <c r="M16" s="32" t="n"/>
      <c r="N16" s="33" t="n"/>
      <c r="O16" s="10" t="n"/>
      <c r="P16" s="10" t="n"/>
      <c r="Q16" s="10" t="n"/>
      <c r="R16" s="10" t="n"/>
      <c r="S16" s="10" t="n"/>
      <c r="T16" s="32" t="n"/>
      <c r="U16" s="32" t="n"/>
      <c r="V16" s="16">
        <f>IF(A16="","",IF(OR(COUNTIF($A$8:$A$207,A16)&lt;&gt;1,COUNTIF('用胶项目'!$A$8:$A$207,B16)&lt;&gt;1,AND(D16&lt;&gt;"",COUNTIF('联系人'!$A$8:$A$207,D16)&lt;&gt;1),AND(M16&lt;&gt;"",COUNTIF('联系人'!$A$8:$A$207,M16)&lt;&gt;1),AND(T16&lt;&gt;"",COUNTIF('跟进待办'!$A$8:$A$207,T16)&lt;&gt;1),AND(U16&lt;&gt;"",COUNTIF('沟通记录'!$A$8:$A$207,U16)&lt;&gt;1)),"检查编号或关联","正常"))</f>
        <v/>
      </c>
    </row>
    <row r="17" ht="34" customHeight="1">
      <c r="A17" s="32" t="n"/>
      <c r="B17" s="32" t="n"/>
      <c r="C17" s="34">
        <f>IF(B17="","",IF(COUNTIF('用胶项目'!$A$8:$A$207,B17)&lt;&gt;1,"编号缺失或重复",INDEX('用胶项目'!$B$8:$B$207,MATCH(B17,'用胶项目'!$A$8:$A$207,0))))</f>
        <v/>
      </c>
      <c r="D17" s="32" t="n"/>
      <c r="E17" s="10" t="n"/>
      <c r="F17" s="38" t="n"/>
      <c r="G17" s="10" t="n"/>
      <c r="H17" s="10" t="n"/>
      <c r="I17" s="10" t="n"/>
      <c r="J17" s="33" t="n"/>
      <c r="K17" s="32" t="n"/>
      <c r="L17" s="33" t="n"/>
      <c r="M17" s="32" t="n"/>
      <c r="N17" s="33" t="n"/>
      <c r="O17" s="10" t="n"/>
      <c r="P17" s="10" t="n"/>
      <c r="Q17" s="10" t="n"/>
      <c r="R17" s="10" t="n"/>
      <c r="S17" s="10" t="n"/>
      <c r="T17" s="32" t="n"/>
      <c r="U17" s="32" t="n"/>
      <c r="V17" s="16">
        <f>IF(A17="","",IF(OR(COUNTIF($A$8:$A$207,A17)&lt;&gt;1,COUNTIF('用胶项目'!$A$8:$A$207,B17)&lt;&gt;1,AND(D17&lt;&gt;"",COUNTIF('联系人'!$A$8:$A$207,D17)&lt;&gt;1),AND(M17&lt;&gt;"",COUNTIF('联系人'!$A$8:$A$207,M17)&lt;&gt;1),AND(T17&lt;&gt;"",COUNTIF('跟进待办'!$A$8:$A$207,T17)&lt;&gt;1),AND(U17&lt;&gt;"",COUNTIF('沟通记录'!$A$8:$A$207,U17)&lt;&gt;1)),"检查编号或关联","正常"))</f>
        <v/>
      </c>
    </row>
    <row r="18" ht="34" customHeight="1">
      <c r="A18" s="32" t="n"/>
      <c r="B18" s="32" t="n"/>
      <c r="C18" s="34">
        <f>IF(B18="","",IF(COUNTIF('用胶项目'!$A$8:$A$207,B18)&lt;&gt;1,"编号缺失或重复",INDEX('用胶项目'!$B$8:$B$207,MATCH(B18,'用胶项目'!$A$8:$A$207,0))))</f>
        <v/>
      </c>
      <c r="D18" s="32" t="n"/>
      <c r="E18" s="10" t="n"/>
      <c r="F18" s="38" t="n"/>
      <c r="G18" s="10" t="n"/>
      <c r="H18" s="10" t="n"/>
      <c r="I18" s="10" t="n"/>
      <c r="J18" s="33" t="n"/>
      <c r="K18" s="32" t="n"/>
      <c r="L18" s="33" t="n"/>
      <c r="M18" s="32" t="n"/>
      <c r="N18" s="33" t="n"/>
      <c r="O18" s="10" t="n"/>
      <c r="P18" s="10" t="n"/>
      <c r="Q18" s="10" t="n"/>
      <c r="R18" s="10" t="n"/>
      <c r="S18" s="10" t="n"/>
      <c r="T18" s="32" t="n"/>
      <c r="U18" s="32" t="n"/>
      <c r="V18" s="16">
        <f>IF(A18="","",IF(OR(COUNTIF($A$8:$A$207,A18)&lt;&gt;1,COUNTIF('用胶项目'!$A$8:$A$207,B18)&lt;&gt;1,AND(D18&lt;&gt;"",COUNTIF('联系人'!$A$8:$A$207,D18)&lt;&gt;1),AND(M18&lt;&gt;"",COUNTIF('联系人'!$A$8:$A$207,M18)&lt;&gt;1),AND(T18&lt;&gt;"",COUNTIF('跟进待办'!$A$8:$A$207,T18)&lt;&gt;1),AND(U18&lt;&gt;"",COUNTIF('沟通记录'!$A$8:$A$207,U18)&lt;&gt;1)),"检查编号或关联","正常"))</f>
        <v/>
      </c>
    </row>
    <row r="19" ht="34" customHeight="1">
      <c r="A19" s="32" t="n"/>
      <c r="B19" s="32" t="n"/>
      <c r="C19" s="34">
        <f>IF(B19="","",IF(COUNTIF('用胶项目'!$A$8:$A$207,B19)&lt;&gt;1,"编号缺失或重复",INDEX('用胶项目'!$B$8:$B$207,MATCH(B19,'用胶项目'!$A$8:$A$207,0))))</f>
        <v/>
      </c>
      <c r="D19" s="32" t="n"/>
      <c r="E19" s="10" t="n"/>
      <c r="F19" s="38" t="n"/>
      <c r="G19" s="10" t="n"/>
      <c r="H19" s="10" t="n"/>
      <c r="I19" s="10" t="n"/>
      <c r="J19" s="33" t="n"/>
      <c r="K19" s="32" t="n"/>
      <c r="L19" s="33" t="n"/>
      <c r="M19" s="32" t="n"/>
      <c r="N19" s="33" t="n"/>
      <c r="O19" s="10" t="n"/>
      <c r="P19" s="10" t="n"/>
      <c r="Q19" s="10" t="n"/>
      <c r="R19" s="10" t="n"/>
      <c r="S19" s="10" t="n"/>
      <c r="T19" s="32" t="n"/>
      <c r="U19" s="32" t="n"/>
      <c r="V19" s="16">
        <f>IF(A19="","",IF(OR(COUNTIF($A$8:$A$207,A19)&lt;&gt;1,COUNTIF('用胶项目'!$A$8:$A$207,B19)&lt;&gt;1,AND(D19&lt;&gt;"",COUNTIF('联系人'!$A$8:$A$207,D19)&lt;&gt;1),AND(M19&lt;&gt;"",COUNTIF('联系人'!$A$8:$A$207,M19)&lt;&gt;1),AND(T19&lt;&gt;"",COUNTIF('跟进待办'!$A$8:$A$207,T19)&lt;&gt;1),AND(U19&lt;&gt;"",COUNTIF('沟通记录'!$A$8:$A$207,U19)&lt;&gt;1)),"检查编号或关联","正常"))</f>
        <v/>
      </c>
    </row>
    <row r="20" ht="34" customHeight="1">
      <c r="A20" s="32" t="n"/>
      <c r="B20" s="32" t="n"/>
      <c r="C20" s="34">
        <f>IF(B20="","",IF(COUNTIF('用胶项目'!$A$8:$A$207,B20)&lt;&gt;1,"编号缺失或重复",INDEX('用胶项目'!$B$8:$B$207,MATCH(B20,'用胶项目'!$A$8:$A$207,0))))</f>
        <v/>
      </c>
      <c r="D20" s="32" t="n"/>
      <c r="E20" s="10" t="n"/>
      <c r="F20" s="38" t="n"/>
      <c r="G20" s="10" t="n"/>
      <c r="H20" s="10" t="n"/>
      <c r="I20" s="10" t="n"/>
      <c r="J20" s="33" t="n"/>
      <c r="K20" s="32" t="n"/>
      <c r="L20" s="33" t="n"/>
      <c r="M20" s="32" t="n"/>
      <c r="N20" s="33" t="n"/>
      <c r="O20" s="10" t="n"/>
      <c r="P20" s="10" t="n"/>
      <c r="Q20" s="10" t="n"/>
      <c r="R20" s="10" t="n"/>
      <c r="S20" s="10" t="n"/>
      <c r="T20" s="32" t="n"/>
      <c r="U20" s="32" t="n"/>
      <c r="V20" s="16">
        <f>IF(A20="","",IF(OR(COUNTIF($A$8:$A$207,A20)&lt;&gt;1,COUNTIF('用胶项目'!$A$8:$A$207,B20)&lt;&gt;1,AND(D20&lt;&gt;"",COUNTIF('联系人'!$A$8:$A$207,D20)&lt;&gt;1),AND(M20&lt;&gt;"",COUNTIF('联系人'!$A$8:$A$207,M20)&lt;&gt;1),AND(T20&lt;&gt;"",COUNTIF('跟进待办'!$A$8:$A$207,T20)&lt;&gt;1),AND(U20&lt;&gt;"",COUNTIF('沟通记录'!$A$8:$A$207,U20)&lt;&gt;1)),"检查编号或关联","正常"))</f>
        <v/>
      </c>
    </row>
    <row r="21" ht="34" customHeight="1">
      <c r="A21" s="32" t="n"/>
      <c r="B21" s="32" t="n"/>
      <c r="C21" s="34">
        <f>IF(B21="","",IF(COUNTIF('用胶项目'!$A$8:$A$207,B21)&lt;&gt;1,"编号缺失或重复",INDEX('用胶项目'!$B$8:$B$207,MATCH(B21,'用胶项目'!$A$8:$A$207,0))))</f>
        <v/>
      </c>
      <c r="D21" s="32" t="n"/>
      <c r="E21" s="10" t="n"/>
      <c r="F21" s="38" t="n"/>
      <c r="G21" s="10" t="n"/>
      <c r="H21" s="10" t="n"/>
      <c r="I21" s="10" t="n"/>
      <c r="J21" s="33" t="n"/>
      <c r="K21" s="32" t="n"/>
      <c r="L21" s="33" t="n"/>
      <c r="M21" s="32" t="n"/>
      <c r="N21" s="33" t="n"/>
      <c r="O21" s="10" t="n"/>
      <c r="P21" s="10" t="n"/>
      <c r="Q21" s="10" t="n"/>
      <c r="R21" s="10" t="n"/>
      <c r="S21" s="10" t="n"/>
      <c r="T21" s="32" t="n"/>
      <c r="U21" s="32" t="n"/>
      <c r="V21" s="16">
        <f>IF(A21="","",IF(OR(COUNTIF($A$8:$A$207,A21)&lt;&gt;1,COUNTIF('用胶项目'!$A$8:$A$207,B21)&lt;&gt;1,AND(D21&lt;&gt;"",COUNTIF('联系人'!$A$8:$A$207,D21)&lt;&gt;1),AND(M21&lt;&gt;"",COUNTIF('联系人'!$A$8:$A$207,M21)&lt;&gt;1),AND(T21&lt;&gt;"",COUNTIF('跟进待办'!$A$8:$A$207,T21)&lt;&gt;1),AND(U21&lt;&gt;"",COUNTIF('沟通记录'!$A$8:$A$207,U21)&lt;&gt;1)),"检查编号或关联","正常"))</f>
        <v/>
      </c>
    </row>
    <row r="22" ht="34" customHeight="1">
      <c r="A22" s="32" t="n"/>
      <c r="B22" s="32" t="n"/>
      <c r="C22" s="34">
        <f>IF(B22="","",IF(COUNTIF('用胶项目'!$A$8:$A$207,B22)&lt;&gt;1,"编号缺失或重复",INDEX('用胶项目'!$B$8:$B$207,MATCH(B22,'用胶项目'!$A$8:$A$207,0))))</f>
        <v/>
      </c>
      <c r="D22" s="32" t="n"/>
      <c r="E22" s="10" t="n"/>
      <c r="F22" s="38" t="n"/>
      <c r="G22" s="10" t="n"/>
      <c r="H22" s="10" t="n"/>
      <c r="I22" s="10" t="n"/>
      <c r="J22" s="33" t="n"/>
      <c r="K22" s="32" t="n"/>
      <c r="L22" s="33" t="n"/>
      <c r="M22" s="32" t="n"/>
      <c r="N22" s="33" t="n"/>
      <c r="O22" s="10" t="n"/>
      <c r="P22" s="10" t="n"/>
      <c r="Q22" s="10" t="n"/>
      <c r="R22" s="10" t="n"/>
      <c r="S22" s="10" t="n"/>
      <c r="T22" s="32" t="n"/>
      <c r="U22" s="32" t="n"/>
      <c r="V22" s="16">
        <f>IF(A22="","",IF(OR(COUNTIF($A$8:$A$207,A22)&lt;&gt;1,COUNTIF('用胶项目'!$A$8:$A$207,B22)&lt;&gt;1,AND(D22&lt;&gt;"",COUNTIF('联系人'!$A$8:$A$207,D22)&lt;&gt;1),AND(M22&lt;&gt;"",COUNTIF('联系人'!$A$8:$A$207,M22)&lt;&gt;1),AND(T22&lt;&gt;"",COUNTIF('跟进待办'!$A$8:$A$207,T22)&lt;&gt;1),AND(U22&lt;&gt;"",COUNTIF('沟通记录'!$A$8:$A$207,U22)&lt;&gt;1)),"检查编号或关联","正常"))</f>
        <v/>
      </c>
    </row>
    <row r="23" ht="34" customHeight="1">
      <c r="A23" s="32" t="n"/>
      <c r="B23" s="32" t="n"/>
      <c r="C23" s="34">
        <f>IF(B23="","",IF(COUNTIF('用胶项目'!$A$8:$A$207,B23)&lt;&gt;1,"编号缺失或重复",INDEX('用胶项目'!$B$8:$B$207,MATCH(B23,'用胶项目'!$A$8:$A$207,0))))</f>
        <v/>
      </c>
      <c r="D23" s="32" t="n"/>
      <c r="E23" s="10" t="n"/>
      <c r="F23" s="38" t="n"/>
      <c r="G23" s="10" t="n"/>
      <c r="H23" s="10" t="n"/>
      <c r="I23" s="10" t="n"/>
      <c r="J23" s="33" t="n"/>
      <c r="K23" s="32" t="n"/>
      <c r="L23" s="33" t="n"/>
      <c r="M23" s="32" t="n"/>
      <c r="N23" s="33" t="n"/>
      <c r="O23" s="10" t="n"/>
      <c r="P23" s="10" t="n"/>
      <c r="Q23" s="10" t="n"/>
      <c r="R23" s="10" t="n"/>
      <c r="S23" s="10" t="n"/>
      <c r="T23" s="32" t="n"/>
      <c r="U23" s="32" t="n"/>
      <c r="V23" s="16">
        <f>IF(A23="","",IF(OR(COUNTIF($A$8:$A$207,A23)&lt;&gt;1,COUNTIF('用胶项目'!$A$8:$A$207,B23)&lt;&gt;1,AND(D23&lt;&gt;"",COUNTIF('联系人'!$A$8:$A$207,D23)&lt;&gt;1),AND(M23&lt;&gt;"",COUNTIF('联系人'!$A$8:$A$207,M23)&lt;&gt;1),AND(T23&lt;&gt;"",COUNTIF('跟进待办'!$A$8:$A$207,T23)&lt;&gt;1),AND(U23&lt;&gt;"",COUNTIF('沟通记录'!$A$8:$A$207,U23)&lt;&gt;1)),"检查编号或关联","正常"))</f>
        <v/>
      </c>
    </row>
    <row r="24" ht="34" customHeight="1">
      <c r="A24" s="32" t="n"/>
      <c r="B24" s="32" t="n"/>
      <c r="C24" s="34">
        <f>IF(B24="","",IF(COUNTIF('用胶项目'!$A$8:$A$207,B24)&lt;&gt;1,"编号缺失或重复",INDEX('用胶项目'!$B$8:$B$207,MATCH(B24,'用胶项目'!$A$8:$A$207,0))))</f>
        <v/>
      </c>
      <c r="D24" s="32" t="n"/>
      <c r="E24" s="10" t="n"/>
      <c r="F24" s="38" t="n"/>
      <c r="G24" s="10" t="n"/>
      <c r="H24" s="10" t="n"/>
      <c r="I24" s="10" t="n"/>
      <c r="J24" s="33" t="n"/>
      <c r="K24" s="32" t="n"/>
      <c r="L24" s="33" t="n"/>
      <c r="M24" s="32" t="n"/>
      <c r="N24" s="33" t="n"/>
      <c r="O24" s="10" t="n"/>
      <c r="P24" s="10" t="n"/>
      <c r="Q24" s="10" t="n"/>
      <c r="R24" s="10" t="n"/>
      <c r="S24" s="10" t="n"/>
      <c r="T24" s="32" t="n"/>
      <c r="U24" s="32" t="n"/>
      <c r="V24" s="16">
        <f>IF(A24="","",IF(OR(COUNTIF($A$8:$A$207,A24)&lt;&gt;1,COUNTIF('用胶项目'!$A$8:$A$207,B24)&lt;&gt;1,AND(D24&lt;&gt;"",COUNTIF('联系人'!$A$8:$A$207,D24)&lt;&gt;1),AND(M24&lt;&gt;"",COUNTIF('联系人'!$A$8:$A$207,M24)&lt;&gt;1),AND(T24&lt;&gt;"",COUNTIF('跟进待办'!$A$8:$A$207,T24)&lt;&gt;1),AND(U24&lt;&gt;"",COUNTIF('沟通记录'!$A$8:$A$207,U24)&lt;&gt;1)),"检查编号或关联","正常"))</f>
        <v/>
      </c>
    </row>
    <row r="25" ht="34" customHeight="1">
      <c r="A25" s="32" t="n"/>
      <c r="B25" s="32" t="n"/>
      <c r="C25" s="34">
        <f>IF(B25="","",IF(COUNTIF('用胶项目'!$A$8:$A$207,B25)&lt;&gt;1,"编号缺失或重复",INDEX('用胶项目'!$B$8:$B$207,MATCH(B25,'用胶项目'!$A$8:$A$207,0))))</f>
        <v/>
      </c>
      <c r="D25" s="32" t="n"/>
      <c r="E25" s="10" t="n"/>
      <c r="F25" s="38" t="n"/>
      <c r="G25" s="10" t="n"/>
      <c r="H25" s="10" t="n"/>
      <c r="I25" s="10" t="n"/>
      <c r="J25" s="33" t="n"/>
      <c r="K25" s="32" t="n"/>
      <c r="L25" s="33" t="n"/>
      <c r="M25" s="32" t="n"/>
      <c r="N25" s="33" t="n"/>
      <c r="O25" s="10" t="n"/>
      <c r="P25" s="10" t="n"/>
      <c r="Q25" s="10" t="n"/>
      <c r="R25" s="10" t="n"/>
      <c r="S25" s="10" t="n"/>
      <c r="T25" s="32" t="n"/>
      <c r="U25" s="32" t="n"/>
      <c r="V25" s="16">
        <f>IF(A25="","",IF(OR(COUNTIF($A$8:$A$207,A25)&lt;&gt;1,COUNTIF('用胶项目'!$A$8:$A$207,B25)&lt;&gt;1,AND(D25&lt;&gt;"",COUNTIF('联系人'!$A$8:$A$207,D25)&lt;&gt;1),AND(M25&lt;&gt;"",COUNTIF('联系人'!$A$8:$A$207,M25)&lt;&gt;1),AND(T25&lt;&gt;"",COUNTIF('跟进待办'!$A$8:$A$207,T25)&lt;&gt;1),AND(U25&lt;&gt;"",COUNTIF('沟通记录'!$A$8:$A$207,U25)&lt;&gt;1)),"检查编号或关联","正常"))</f>
        <v/>
      </c>
    </row>
    <row r="26" ht="34" customHeight="1">
      <c r="A26" s="32" t="n"/>
      <c r="B26" s="32" t="n"/>
      <c r="C26" s="34">
        <f>IF(B26="","",IF(COUNTIF('用胶项目'!$A$8:$A$207,B26)&lt;&gt;1,"编号缺失或重复",INDEX('用胶项目'!$B$8:$B$207,MATCH(B26,'用胶项目'!$A$8:$A$207,0))))</f>
        <v/>
      </c>
      <c r="D26" s="32" t="n"/>
      <c r="E26" s="10" t="n"/>
      <c r="F26" s="38" t="n"/>
      <c r="G26" s="10" t="n"/>
      <c r="H26" s="10" t="n"/>
      <c r="I26" s="10" t="n"/>
      <c r="J26" s="33" t="n"/>
      <c r="K26" s="32" t="n"/>
      <c r="L26" s="33" t="n"/>
      <c r="M26" s="32" t="n"/>
      <c r="N26" s="33" t="n"/>
      <c r="O26" s="10" t="n"/>
      <c r="P26" s="10" t="n"/>
      <c r="Q26" s="10" t="n"/>
      <c r="R26" s="10" t="n"/>
      <c r="S26" s="10" t="n"/>
      <c r="T26" s="32" t="n"/>
      <c r="U26" s="32" t="n"/>
      <c r="V26" s="16">
        <f>IF(A26="","",IF(OR(COUNTIF($A$8:$A$207,A26)&lt;&gt;1,COUNTIF('用胶项目'!$A$8:$A$207,B26)&lt;&gt;1,AND(D26&lt;&gt;"",COUNTIF('联系人'!$A$8:$A$207,D26)&lt;&gt;1),AND(M26&lt;&gt;"",COUNTIF('联系人'!$A$8:$A$207,M26)&lt;&gt;1),AND(T26&lt;&gt;"",COUNTIF('跟进待办'!$A$8:$A$207,T26)&lt;&gt;1),AND(U26&lt;&gt;"",COUNTIF('沟通记录'!$A$8:$A$207,U26)&lt;&gt;1)),"检查编号或关联","正常"))</f>
        <v/>
      </c>
    </row>
    <row r="27" ht="34" customHeight="1">
      <c r="A27" s="32" t="n"/>
      <c r="B27" s="32" t="n"/>
      <c r="C27" s="34">
        <f>IF(B27="","",IF(COUNTIF('用胶项目'!$A$8:$A$207,B27)&lt;&gt;1,"编号缺失或重复",INDEX('用胶项目'!$B$8:$B$207,MATCH(B27,'用胶项目'!$A$8:$A$207,0))))</f>
        <v/>
      </c>
      <c r="D27" s="32" t="n"/>
      <c r="E27" s="10" t="n"/>
      <c r="F27" s="38" t="n"/>
      <c r="G27" s="10" t="n"/>
      <c r="H27" s="10" t="n"/>
      <c r="I27" s="10" t="n"/>
      <c r="J27" s="33" t="n"/>
      <c r="K27" s="32" t="n"/>
      <c r="L27" s="33" t="n"/>
      <c r="M27" s="32" t="n"/>
      <c r="N27" s="33" t="n"/>
      <c r="O27" s="10" t="n"/>
      <c r="P27" s="10" t="n"/>
      <c r="Q27" s="10" t="n"/>
      <c r="R27" s="10" t="n"/>
      <c r="S27" s="10" t="n"/>
      <c r="T27" s="32" t="n"/>
      <c r="U27" s="32" t="n"/>
      <c r="V27" s="16">
        <f>IF(A27="","",IF(OR(COUNTIF($A$8:$A$207,A27)&lt;&gt;1,COUNTIF('用胶项目'!$A$8:$A$207,B27)&lt;&gt;1,AND(D27&lt;&gt;"",COUNTIF('联系人'!$A$8:$A$207,D27)&lt;&gt;1),AND(M27&lt;&gt;"",COUNTIF('联系人'!$A$8:$A$207,M27)&lt;&gt;1),AND(T27&lt;&gt;"",COUNTIF('跟进待办'!$A$8:$A$207,T27)&lt;&gt;1),AND(U27&lt;&gt;"",COUNTIF('沟通记录'!$A$8:$A$207,U27)&lt;&gt;1)),"检查编号或关联","正常"))</f>
        <v/>
      </c>
    </row>
    <row r="28" ht="34" customHeight="1">
      <c r="A28" s="32" t="n"/>
      <c r="B28" s="32" t="n"/>
      <c r="C28" s="34">
        <f>IF(B28="","",IF(COUNTIF('用胶项目'!$A$8:$A$207,B28)&lt;&gt;1,"编号缺失或重复",INDEX('用胶项目'!$B$8:$B$207,MATCH(B28,'用胶项目'!$A$8:$A$207,0))))</f>
        <v/>
      </c>
      <c r="D28" s="32" t="n"/>
      <c r="E28" s="10" t="n"/>
      <c r="F28" s="38" t="n"/>
      <c r="G28" s="10" t="n"/>
      <c r="H28" s="10" t="n"/>
      <c r="I28" s="10" t="n"/>
      <c r="J28" s="33" t="n"/>
      <c r="K28" s="32" t="n"/>
      <c r="L28" s="33" t="n"/>
      <c r="M28" s="32" t="n"/>
      <c r="N28" s="33" t="n"/>
      <c r="O28" s="10" t="n"/>
      <c r="P28" s="10" t="n"/>
      <c r="Q28" s="10" t="n"/>
      <c r="R28" s="10" t="n"/>
      <c r="S28" s="10" t="n"/>
      <c r="T28" s="32" t="n"/>
      <c r="U28" s="32" t="n"/>
      <c r="V28" s="16">
        <f>IF(A28="","",IF(OR(COUNTIF($A$8:$A$207,A28)&lt;&gt;1,COUNTIF('用胶项目'!$A$8:$A$207,B28)&lt;&gt;1,AND(D28&lt;&gt;"",COUNTIF('联系人'!$A$8:$A$207,D28)&lt;&gt;1),AND(M28&lt;&gt;"",COUNTIF('联系人'!$A$8:$A$207,M28)&lt;&gt;1),AND(T28&lt;&gt;"",COUNTIF('跟进待办'!$A$8:$A$207,T28)&lt;&gt;1),AND(U28&lt;&gt;"",COUNTIF('沟通记录'!$A$8:$A$207,U28)&lt;&gt;1)),"检查编号或关联","正常"))</f>
        <v/>
      </c>
    </row>
    <row r="29" ht="34" customHeight="1">
      <c r="A29" s="32" t="n"/>
      <c r="B29" s="32" t="n"/>
      <c r="C29" s="34">
        <f>IF(B29="","",IF(COUNTIF('用胶项目'!$A$8:$A$207,B29)&lt;&gt;1,"编号缺失或重复",INDEX('用胶项目'!$B$8:$B$207,MATCH(B29,'用胶项目'!$A$8:$A$207,0))))</f>
        <v/>
      </c>
      <c r="D29" s="32" t="n"/>
      <c r="E29" s="10" t="n"/>
      <c r="F29" s="38" t="n"/>
      <c r="G29" s="10" t="n"/>
      <c r="H29" s="10" t="n"/>
      <c r="I29" s="10" t="n"/>
      <c r="J29" s="33" t="n"/>
      <c r="K29" s="32" t="n"/>
      <c r="L29" s="33" t="n"/>
      <c r="M29" s="32" t="n"/>
      <c r="N29" s="33" t="n"/>
      <c r="O29" s="10" t="n"/>
      <c r="P29" s="10" t="n"/>
      <c r="Q29" s="10" t="n"/>
      <c r="R29" s="10" t="n"/>
      <c r="S29" s="10" t="n"/>
      <c r="T29" s="32" t="n"/>
      <c r="U29" s="32" t="n"/>
      <c r="V29" s="16">
        <f>IF(A29="","",IF(OR(COUNTIF($A$8:$A$207,A29)&lt;&gt;1,COUNTIF('用胶项目'!$A$8:$A$207,B29)&lt;&gt;1,AND(D29&lt;&gt;"",COUNTIF('联系人'!$A$8:$A$207,D29)&lt;&gt;1),AND(M29&lt;&gt;"",COUNTIF('联系人'!$A$8:$A$207,M29)&lt;&gt;1),AND(T29&lt;&gt;"",COUNTIF('跟进待办'!$A$8:$A$207,T29)&lt;&gt;1),AND(U29&lt;&gt;"",COUNTIF('沟通记录'!$A$8:$A$207,U29)&lt;&gt;1)),"检查编号或关联","正常"))</f>
        <v/>
      </c>
    </row>
    <row r="30" ht="34" customHeight="1">
      <c r="A30" s="32" t="n"/>
      <c r="B30" s="32" t="n"/>
      <c r="C30" s="34">
        <f>IF(B30="","",IF(COUNTIF('用胶项目'!$A$8:$A$207,B30)&lt;&gt;1,"编号缺失或重复",INDEX('用胶项目'!$B$8:$B$207,MATCH(B30,'用胶项目'!$A$8:$A$207,0))))</f>
        <v/>
      </c>
      <c r="D30" s="32" t="n"/>
      <c r="E30" s="10" t="n"/>
      <c r="F30" s="38" t="n"/>
      <c r="G30" s="10" t="n"/>
      <c r="H30" s="10" t="n"/>
      <c r="I30" s="10" t="n"/>
      <c r="J30" s="33" t="n"/>
      <c r="K30" s="32" t="n"/>
      <c r="L30" s="33" t="n"/>
      <c r="M30" s="32" t="n"/>
      <c r="N30" s="33" t="n"/>
      <c r="O30" s="10" t="n"/>
      <c r="P30" s="10" t="n"/>
      <c r="Q30" s="10" t="n"/>
      <c r="R30" s="10" t="n"/>
      <c r="S30" s="10" t="n"/>
      <c r="T30" s="32" t="n"/>
      <c r="U30" s="32" t="n"/>
      <c r="V30" s="16">
        <f>IF(A30="","",IF(OR(COUNTIF($A$8:$A$207,A30)&lt;&gt;1,COUNTIF('用胶项目'!$A$8:$A$207,B30)&lt;&gt;1,AND(D30&lt;&gt;"",COUNTIF('联系人'!$A$8:$A$207,D30)&lt;&gt;1),AND(M30&lt;&gt;"",COUNTIF('联系人'!$A$8:$A$207,M30)&lt;&gt;1),AND(T30&lt;&gt;"",COUNTIF('跟进待办'!$A$8:$A$207,T30)&lt;&gt;1),AND(U30&lt;&gt;"",COUNTIF('沟通记录'!$A$8:$A$207,U30)&lt;&gt;1)),"检查编号或关联","正常"))</f>
        <v/>
      </c>
    </row>
    <row r="31" ht="34" customHeight="1">
      <c r="A31" s="32" t="n"/>
      <c r="B31" s="32" t="n"/>
      <c r="C31" s="34">
        <f>IF(B31="","",IF(COUNTIF('用胶项目'!$A$8:$A$207,B31)&lt;&gt;1,"编号缺失或重复",INDEX('用胶项目'!$B$8:$B$207,MATCH(B31,'用胶项目'!$A$8:$A$207,0))))</f>
        <v/>
      </c>
      <c r="D31" s="32" t="n"/>
      <c r="E31" s="10" t="n"/>
      <c r="F31" s="38" t="n"/>
      <c r="G31" s="10" t="n"/>
      <c r="H31" s="10" t="n"/>
      <c r="I31" s="10" t="n"/>
      <c r="J31" s="33" t="n"/>
      <c r="K31" s="32" t="n"/>
      <c r="L31" s="33" t="n"/>
      <c r="M31" s="32" t="n"/>
      <c r="N31" s="33" t="n"/>
      <c r="O31" s="10" t="n"/>
      <c r="P31" s="10" t="n"/>
      <c r="Q31" s="10" t="n"/>
      <c r="R31" s="10" t="n"/>
      <c r="S31" s="10" t="n"/>
      <c r="T31" s="32" t="n"/>
      <c r="U31" s="32" t="n"/>
      <c r="V31" s="16">
        <f>IF(A31="","",IF(OR(COUNTIF($A$8:$A$207,A31)&lt;&gt;1,COUNTIF('用胶项目'!$A$8:$A$207,B31)&lt;&gt;1,AND(D31&lt;&gt;"",COUNTIF('联系人'!$A$8:$A$207,D31)&lt;&gt;1),AND(M31&lt;&gt;"",COUNTIF('联系人'!$A$8:$A$207,M31)&lt;&gt;1),AND(T31&lt;&gt;"",COUNTIF('跟进待办'!$A$8:$A$207,T31)&lt;&gt;1),AND(U31&lt;&gt;"",COUNTIF('沟通记录'!$A$8:$A$207,U31)&lt;&gt;1)),"检查编号或关联","正常"))</f>
        <v/>
      </c>
    </row>
    <row r="32" ht="34" customHeight="1">
      <c r="A32" s="32" t="n"/>
      <c r="B32" s="32" t="n"/>
      <c r="C32" s="34">
        <f>IF(B32="","",IF(COUNTIF('用胶项目'!$A$8:$A$207,B32)&lt;&gt;1,"编号缺失或重复",INDEX('用胶项目'!$B$8:$B$207,MATCH(B32,'用胶项目'!$A$8:$A$207,0))))</f>
        <v/>
      </c>
      <c r="D32" s="32" t="n"/>
      <c r="E32" s="10" t="n"/>
      <c r="F32" s="38" t="n"/>
      <c r="G32" s="10" t="n"/>
      <c r="H32" s="10" t="n"/>
      <c r="I32" s="10" t="n"/>
      <c r="J32" s="33" t="n"/>
      <c r="K32" s="32" t="n"/>
      <c r="L32" s="33" t="n"/>
      <c r="M32" s="32" t="n"/>
      <c r="N32" s="33" t="n"/>
      <c r="O32" s="10" t="n"/>
      <c r="P32" s="10" t="n"/>
      <c r="Q32" s="10" t="n"/>
      <c r="R32" s="10" t="n"/>
      <c r="S32" s="10" t="n"/>
      <c r="T32" s="32" t="n"/>
      <c r="U32" s="32" t="n"/>
      <c r="V32" s="16">
        <f>IF(A32="","",IF(OR(COUNTIF($A$8:$A$207,A32)&lt;&gt;1,COUNTIF('用胶项目'!$A$8:$A$207,B32)&lt;&gt;1,AND(D32&lt;&gt;"",COUNTIF('联系人'!$A$8:$A$207,D32)&lt;&gt;1),AND(M32&lt;&gt;"",COUNTIF('联系人'!$A$8:$A$207,M32)&lt;&gt;1),AND(T32&lt;&gt;"",COUNTIF('跟进待办'!$A$8:$A$207,T32)&lt;&gt;1),AND(U32&lt;&gt;"",COUNTIF('沟通记录'!$A$8:$A$207,U32)&lt;&gt;1)),"检查编号或关联","正常"))</f>
        <v/>
      </c>
    </row>
    <row r="33" ht="34" customHeight="1">
      <c r="A33" s="32" t="n"/>
      <c r="B33" s="32" t="n"/>
      <c r="C33" s="34">
        <f>IF(B33="","",IF(COUNTIF('用胶项目'!$A$8:$A$207,B33)&lt;&gt;1,"编号缺失或重复",INDEX('用胶项目'!$B$8:$B$207,MATCH(B33,'用胶项目'!$A$8:$A$207,0))))</f>
        <v/>
      </c>
      <c r="D33" s="32" t="n"/>
      <c r="E33" s="10" t="n"/>
      <c r="F33" s="38" t="n"/>
      <c r="G33" s="10" t="n"/>
      <c r="H33" s="10" t="n"/>
      <c r="I33" s="10" t="n"/>
      <c r="J33" s="33" t="n"/>
      <c r="K33" s="32" t="n"/>
      <c r="L33" s="33" t="n"/>
      <c r="M33" s="32" t="n"/>
      <c r="N33" s="33" t="n"/>
      <c r="O33" s="10" t="n"/>
      <c r="P33" s="10" t="n"/>
      <c r="Q33" s="10" t="n"/>
      <c r="R33" s="10" t="n"/>
      <c r="S33" s="10" t="n"/>
      <c r="T33" s="32" t="n"/>
      <c r="U33" s="32" t="n"/>
      <c r="V33" s="16">
        <f>IF(A33="","",IF(OR(COUNTIF($A$8:$A$207,A33)&lt;&gt;1,COUNTIF('用胶项目'!$A$8:$A$207,B33)&lt;&gt;1,AND(D33&lt;&gt;"",COUNTIF('联系人'!$A$8:$A$207,D33)&lt;&gt;1),AND(M33&lt;&gt;"",COUNTIF('联系人'!$A$8:$A$207,M33)&lt;&gt;1),AND(T33&lt;&gt;"",COUNTIF('跟进待办'!$A$8:$A$207,T33)&lt;&gt;1),AND(U33&lt;&gt;"",COUNTIF('沟通记录'!$A$8:$A$207,U33)&lt;&gt;1)),"检查编号或关联","正常"))</f>
        <v/>
      </c>
    </row>
    <row r="34" ht="34" customHeight="1">
      <c r="A34" s="32" t="n"/>
      <c r="B34" s="32" t="n"/>
      <c r="C34" s="34">
        <f>IF(B34="","",IF(COUNTIF('用胶项目'!$A$8:$A$207,B34)&lt;&gt;1,"编号缺失或重复",INDEX('用胶项目'!$B$8:$B$207,MATCH(B34,'用胶项目'!$A$8:$A$207,0))))</f>
        <v/>
      </c>
      <c r="D34" s="32" t="n"/>
      <c r="E34" s="10" t="n"/>
      <c r="F34" s="38" t="n"/>
      <c r="G34" s="10" t="n"/>
      <c r="H34" s="10" t="n"/>
      <c r="I34" s="10" t="n"/>
      <c r="J34" s="33" t="n"/>
      <c r="K34" s="32" t="n"/>
      <c r="L34" s="33" t="n"/>
      <c r="M34" s="32" t="n"/>
      <c r="N34" s="33" t="n"/>
      <c r="O34" s="10" t="n"/>
      <c r="P34" s="10" t="n"/>
      <c r="Q34" s="10" t="n"/>
      <c r="R34" s="10" t="n"/>
      <c r="S34" s="10" t="n"/>
      <c r="T34" s="32" t="n"/>
      <c r="U34" s="32" t="n"/>
      <c r="V34" s="16">
        <f>IF(A34="","",IF(OR(COUNTIF($A$8:$A$207,A34)&lt;&gt;1,COUNTIF('用胶项目'!$A$8:$A$207,B34)&lt;&gt;1,AND(D34&lt;&gt;"",COUNTIF('联系人'!$A$8:$A$207,D34)&lt;&gt;1),AND(M34&lt;&gt;"",COUNTIF('联系人'!$A$8:$A$207,M34)&lt;&gt;1),AND(T34&lt;&gt;"",COUNTIF('跟进待办'!$A$8:$A$207,T34)&lt;&gt;1),AND(U34&lt;&gt;"",COUNTIF('沟通记录'!$A$8:$A$207,U34)&lt;&gt;1)),"检查编号或关联","正常"))</f>
        <v/>
      </c>
    </row>
    <row r="35" ht="34" customHeight="1">
      <c r="A35" s="32" t="n"/>
      <c r="B35" s="32" t="n"/>
      <c r="C35" s="34">
        <f>IF(B35="","",IF(COUNTIF('用胶项目'!$A$8:$A$207,B35)&lt;&gt;1,"编号缺失或重复",INDEX('用胶项目'!$B$8:$B$207,MATCH(B35,'用胶项目'!$A$8:$A$207,0))))</f>
        <v/>
      </c>
      <c r="D35" s="32" t="n"/>
      <c r="E35" s="10" t="n"/>
      <c r="F35" s="38" t="n"/>
      <c r="G35" s="10" t="n"/>
      <c r="H35" s="10" t="n"/>
      <c r="I35" s="10" t="n"/>
      <c r="J35" s="33" t="n"/>
      <c r="K35" s="32" t="n"/>
      <c r="L35" s="33" t="n"/>
      <c r="M35" s="32" t="n"/>
      <c r="N35" s="33" t="n"/>
      <c r="O35" s="10" t="n"/>
      <c r="P35" s="10" t="n"/>
      <c r="Q35" s="10" t="n"/>
      <c r="R35" s="10" t="n"/>
      <c r="S35" s="10" t="n"/>
      <c r="T35" s="32" t="n"/>
      <c r="U35" s="32" t="n"/>
      <c r="V35" s="16">
        <f>IF(A35="","",IF(OR(COUNTIF($A$8:$A$207,A35)&lt;&gt;1,COUNTIF('用胶项目'!$A$8:$A$207,B35)&lt;&gt;1,AND(D35&lt;&gt;"",COUNTIF('联系人'!$A$8:$A$207,D35)&lt;&gt;1),AND(M35&lt;&gt;"",COUNTIF('联系人'!$A$8:$A$207,M35)&lt;&gt;1),AND(T35&lt;&gt;"",COUNTIF('跟进待办'!$A$8:$A$207,T35)&lt;&gt;1),AND(U35&lt;&gt;"",COUNTIF('沟通记录'!$A$8:$A$207,U35)&lt;&gt;1)),"检查编号或关联","正常"))</f>
        <v/>
      </c>
    </row>
    <row r="36" ht="34" customHeight="1">
      <c r="A36" s="32" t="n"/>
      <c r="B36" s="32" t="n"/>
      <c r="C36" s="34">
        <f>IF(B36="","",IF(COUNTIF('用胶项目'!$A$8:$A$207,B36)&lt;&gt;1,"编号缺失或重复",INDEX('用胶项目'!$B$8:$B$207,MATCH(B36,'用胶项目'!$A$8:$A$207,0))))</f>
        <v/>
      </c>
      <c r="D36" s="32" t="n"/>
      <c r="E36" s="10" t="n"/>
      <c r="F36" s="38" t="n"/>
      <c r="G36" s="10" t="n"/>
      <c r="H36" s="10" t="n"/>
      <c r="I36" s="10" t="n"/>
      <c r="J36" s="33" t="n"/>
      <c r="K36" s="32" t="n"/>
      <c r="L36" s="33" t="n"/>
      <c r="M36" s="32" t="n"/>
      <c r="N36" s="33" t="n"/>
      <c r="O36" s="10" t="n"/>
      <c r="P36" s="10" t="n"/>
      <c r="Q36" s="10" t="n"/>
      <c r="R36" s="10" t="n"/>
      <c r="S36" s="10" t="n"/>
      <c r="T36" s="32" t="n"/>
      <c r="U36" s="32" t="n"/>
      <c r="V36" s="16">
        <f>IF(A36="","",IF(OR(COUNTIF($A$8:$A$207,A36)&lt;&gt;1,COUNTIF('用胶项目'!$A$8:$A$207,B36)&lt;&gt;1,AND(D36&lt;&gt;"",COUNTIF('联系人'!$A$8:$A$207,D36)&lt;&gt;1),AND(M36&lt;&gt;"",COUNTIF('联系人'!$A$8:$A$207,M36)&lt;&gt;1),AND(T36&lt;&gt;"",COUNTIF('跟进待办'!$A$8:$A$207,T36)&lt;&gt;1),AND(U36&lt;&gt;"",COUNTIF('沟通记录'!$A$8:$A$207,U36)&lt;&gt;1)),"检查编号或关联","正常"))</f>
        <v/>
      </c>
    </row>
    <row r="37" ht="34" customHeight="1">
      <c r="A37" s="32" t="n"/>
      <c r="B37" s="32" t="n"/>
      <c r="C37" s="34">
        <f>IF(B37="","",IF(COUNTIF('用胶项目'!$A$8:$A$207,B37)&lt;&gt;1,"编号缺失或重复",INDEX('用胶项目'!$B$8:$B$207,MATCH(B37,'用胶项目'!$A$8:$A$207,0))))</f>
        <v/>
      </c>
      <c r="D37" s="32" t="n"/>
      <c r="E37" s="10" t="n"/>
      <c r="F37" s="38" t="n"/>
      <c r="G37" s="10" t="n"/>
      <c r="H37" s="10" t="n"/>
      <c r="I37" s="10" t="n"/>
      <c r="J37" s="33" t="n"/>
      <c r="K37" s="32" t="n"/>
      <c r="L37" s="33" t="n"/>
      <c r="M37" s="32" t="n"/>
      <c r="N37" s="33" t="n"/>
      <c r="O37" s="10" t="n"/>
      <c r="P37" s="10" t="n"/>
      <c r="Q37" s="10" t="n"/>
      <c r="R37" s="10" t="n"/>
      <c r="S37" s="10" t="n"/>
      <c r="T37" s="32" t="n"/>
      <c r="U37" s="32" t="n"/>
      <c r="V37" s="16">
        <f>IF(A37="","",IF(OR(COUNTIF($A$8:$A$207,A37)&lt;&gt;1,COUNTIF('用胶项目'!$A$8:$A$207,B37)&lt;&gt;1,AND(D37&lt;&gt;"",COUNTIF('联系人'!$A$8:$A$207,D37)&lt;&gt;1),AND(M37&lt;&gt;"",COUNTIF('联系人'!$A$8:$A$207,M37)&lt;&gt;1),AND(T37&lt;&gt;"",COUNTIF('跟进待办'!$A$8:$A$207,T37)&lt;&gt;1),AND(U37&lt;&gt;"",COUNTIF('沟通记录'!$A$8:$A$207,U37)&lt;&gt;1)),"检查编号或关联","正常"))</f>
        <v/>
      </c>
    </row>
    <row r="38" ht="34" customHeight="1">
      <c r="A38" s="32" t="n"/>
      <c r="B38" s="32" t="n"/>
      <c r="C38" s="34">
        <f>IF(B38="","",IF(COUNTIF('用胶项目'!$A$8:$A$207,B38)&lt;&gt;1,"编号缺失或重复",INDEX('用胶项目'!$B$8:$B$207,MATCH(B38,'用胶项目'!$A$8:$A$207,0))))</f>
        <v/>
      </c>
      <c r="D38" s="32" t="n"/>
      <c r="E38" s="10" t="n"/>
      <c r="F38" s="38" t="n"/>
      <c r="G38" s="10" t="n"/>
      <c r="H38" s="10" t="n"/>
      <c r="I38" s="10" t="n"/>
      <c r="J38" s="33" t="n"/>
      <c r="K38" s="32" t="n"/>
      <c r="L38" s="33" t="n"/>
      <c r="M38" s="32" t="n"/>
      <c r="N38" s="33" t="n"/>
      <c r="O38" s="10" t="n"/>
      <c r="P38" s="10" t="n"/>
      <c r="Q38" s="10" t="n"/>
      <c r="R38" s="10" t="n"/>
      <c r="S38" s="10" t="n"/>
      <c r="T38" s="32" t="n"/>
      <c r="U38" s="32" t="n"/>
      <c r="V38" s="16">
        <f>IF(A38="","",IF(OR(COUNTIF($A$8:$A$207,A38)&lt;&gt;1,COUNTIF('用胶项目'!$A$8:$A$207,B38)&lt;&gt;1,AND(D38&lt;&gt;"",COUNTIF('联系人'!$A$8:$A$207,D38)&lt;&gt;1),AND(M38&lt;&gt;"",COUNTIF('联系人'!$A$8:$A$207,M38)&lt;&gt;1),AND(T38&lt;&gt;"",COUNTIF('跟进待办'!$A$8:$A$207,T38)&lt;&gt;1),AND(U38&lt;&gt;"",COUNTIF('沟通记录'!$A$8:$A$207,U38)&lt;&gt;1)),"检查编号或关联","正常"))</f>
        <v/>
      </c>
    </row>
    <row r="39" ht="34" customHeight="1">
      <c r="A39" s="32" t="n"/>
      <c r="B39" s="32" t="n"/>
      <c r="C39" s="34">
        <f>IF(B39="","",IF(COUNTIF('用胶项目'!$A$8:$A$207,B39)&lt;&gt;1,"编号缺失或重复",INDEX('用胶项目'!$B$8:$B$207,MATCH(B39,'用胶项目'!$A$8:$A$207,0))))</f>
        <v/>
      </c>
      <c r="D39" s="32" t="n"/>
      <c r="E39" s="10" t="n"/>
      <c r="F39" s="38" t="n"/>
      <c r="G39" s="10" t="n"/>
      <c r="H39" s="10" t="n"/>
      <c r="I39" s="10" t="n"/>
      <c r="J39" s="33" t="n"/>
      <c r="K39" s="32" t="n"/>
      <c r="L39" s="33" t="n"/>
      <c r="M39" s="32" t="n"/>
      <c r="N39" s="33" t="n"/>
      <c r="O39" s="10" t="n"/>
      <c r="P39" s="10" t="n"/>
      <c r="Q39" s="10" t="n"/>
      <c r="R39" s="10" t="n"/>
      <c r="S39" s="10" t="n"/>
      <c r="T39" s="32" t="n"/>
      <c r="U39" s="32" t="n"/>
      <c r="V39" s="16">
        <f>IF(A39="","",IF(OR(COUNTIF($A$8:$A$207,A39)&lt;&gt;1,COUNTIF('用胶项目'!$A$8:$A$207,B39)&lt;&gt;1,AND(D39&lt;&gt;"",COUNTIF('联系人'!$A$8:$A$207,D39)&lt;&gt;1),AND(M39&lt;&gt;"",COUNTIF('联系人'!$A$8:$A$207,M39)&lt;&gt;1),AND(T39&lt;&gt;"",COUNTIF('跟进待办'!$A$8:$A$207,T39)&lt;&gt;1),AND(U39&lt;&gt;"",COUNTIF('沟通记录'!$A$8:$A$207,U39)&lt;&gt;1)),"检查编号或关联","正常"))</f>
        <v/>
      </c>
    </row>
    <row r="40" ht="34" customHeight="1">
      <c r="A40" s="32" t="n"/>
      <c r="B40" s="32" t="n"/>
      <c r="C40" s="34">
        <f>IF(B40="","",IF(COUNTIF('用胶项目'!$A$8:$A$207,B40)&lt;&gt;1,"编号缺失或重复",INDEX('用胶项目'!$B$8:$B$207,MATCH(B40,'用胶项目'!$A$8:$A$207,0))))</f>
        <v/>
      </c>
      <c r="D40" s="32" t="n"/>
      <c r="E40" s="10" t="n"/>
      <c r="F40" s="38" t="n"/>
      <c r="G40" s="10" t="n"/>
      <c r="H40" s="10" t="n"/>
      <c r="I40" s="10" t="n"/>
      <c r="J40" s="33" t="n"/>
      <c r="K40" s="32" t="n"/>
      <c r="L40" s="33" t="n"/>
      <c r="M40" s="32" t="n"/>
      <c r="N40" s="33" t="n"/>
      <c r="O40" s="10" t="n"/>
      <c r="P40" s="10" t="n"/>
      <c r="Q40" s="10" t="n"/>
      <c r="R40" s="10" t="n"/>
      <c r="S40" s="10" t="n"/>
      <c r="T40" s="32" t="n"/>
      <c r="U40" s="32" t="n"/>
      <c r="V40" s="16">
        <f>IF(A40="","",IF(OR(COUNTIF($A$8:$A$207,A40)&lt;&gt;1,COUNTIF('用胶项目'!$A$8:$A$207,B40)&lt;&gt;1,AND(D40&lt;&gt;"",COUNTIF('联系人'!$A$8:$A$207,D40)&lt;&gt;1),AND(M40&lt;&gt;"",COUNTIF('联系人'!$A$8:$A$207,M40)&lt;&gt;1),AND(T40&lt;&gt;"",COUNTIF('跟进待办'!$A$8:$A$207,T40)&lt;&gt;1),AND(U40&lt;&gt;"",COUNTIF('沟通记录'!$A$8:$A$207,U40)&lt;&gt;1)),"检查编号或关联","正常"))</f>
        <v/>
      </c>
    </row>
    <row r="41" ht="34" customHeight="1">
      <c r="A41" s="32" t="n"/>
      <c r="B41" s="32" t="n"/>
      <c r="C41" s="34">
        <f>IF(B41="","",IF(COUNTIF('用胶项目'!$A$8:$A$207,B41)&lt;&gt;1,"编号缺失或重复",INDEX('用胶项目'!$B$8:$B$207,MATCH(B41,'用胶项目'!$A$8:$A$207,0))))</f>
        <v/>
      </c>
      <c r="D41" s="32" t="n"/>
      <c r="E41" s="10" t="n"/>
      <c r="F41" s="38" t="n"/>
      <c r="G41" s="10" t="n"/>
      <c r="H41" s="10" t="n"/>
      <c r="I41" s="10" t="n"/>
      <c r="J41" s="33" t="n"/>
      <c r="K41" s="32" t="n"/>
      <c r="L41" s="33" t="n"/>
      <c r="M41" s="32" t="n"/>
      <c r="N41" s="33" t="n"/>
      <c r="O41" s="10" t="n"/>
      <c r="P41" s="10" t="n"/>
      <c r="Q41" s="10" t="n"/>
      <c r="R41" s="10" t="n"/>
      <c r="S41" s="10" t="n"/>
      <c r="T41" s="32" t="n"/>
      <c r="U41" s="32" t="n"/>
      <c r="V41" s="16">
        <f>IF(A41="","",IF(OR(COUNTIF($A$8:$A$207,A41)&lt;&gt;1,COUNTIF('用胶项目'!$A$8:$A$207,B41)&lt;&gt;1,AND(D41&lt;&gt;"",COUNTIF('联系人'!$A$8:$A$207,D41)&lt;&gt;1),AND(M41&lt;&gt;"",COUNTIF('联系人'!$A$8:$A$207,M41)&lt;&gt;1),AND(T41&lt;&gt;"",COUNTIF('跟进待办'!$A$8:$A$207,T41)&lt;&gt;1),AND(U41&lt;&gt;"",COUNTIF('沟通记录'!$A$8:$A$207,U41)&lt;&gt;1)),"检查编号或关联","正常"))</f>
        <v/>
      </c>
    </row>
    <row r="42" ht="34" customHeight="1">
      <c r="A42" s="32" t="n"/>
      <c r="B42" s="32" t="n"/>
      <c r="C42" s="34">
        <f>IF(B42="","",IF(COUNTIF('用胶项目'!$A$8:$A$207,B42)&lt;&gt;1,"编号缺失或重复",INDEX('用胶项目'!$B$8:$B$207,MATCH(B42,'用胶项目'!$A$8:$A$207,0))))</f>
        <v/>
      </c>
      <c r="D42" s="32" t="n"/>
      <c r="E42" s="10" t="n"/>
      <c r="F42" s="38" t="n"/>
      <c r="G42" s="10" t="n"/>
      <c r="H42" s="10" t="n"/>
      <c r="I42" s="10" t="n"/>
      <c r="J42" s="33" t="n"/>
      <c r="K42" s="32" t="n"/>
      <c r="L42" s="33" t="n"/>
      <c r="M42" s="32" t="n"/>
      <c r="N42" s="33" t="n"/>
      <c r="O42" s="10" t="n"/>
      <c r="P42" s="10" t="n"/>
      <c r="Q42" s="10" t="n"/>
      <c r="R42" s="10" t="n"/>
      <c r="S42" s="10" t="n"/>
      <c r="T42" s="32" t="n"/>
      <c r="U42" s="32" t="n"/>
      <c r="V42" s="16">
        <f>IF(A42="","",IF(OR(COUNTIF($A$8:$A$207,A42)&lt;&gt;1,COUNTIF('用胶项目'!$A$8:$A$207,B42)&lt;&gt;1,AND(D42&lt;&gt;"",COUNTIF('联系人'!$A$8:$A$207,D42)&lt;&gt;1),AND(M42&lt;&gt;"",COUNTIF('联系人'!$A$8:$A$207,M42)&lt;&gt;1),AND(T42&lt;&gt;"",COUNTIF('跟进待办'!$A$8:$A$207,T42)&lt;&gt;1),AND(U42&lt;&gt;"",COUNTIF('沟通记录'!$A$8:$A$207,U42)&lt;&gt;1)),"检查编号或关联","正常"))</f>
        <v/>
      </c>
    </row>
    <row r="43" ht="34" customHeight="1">
      <c r="A43" s="32" t="n"/>
      <c r="B43" s="32" t="n"/>
      <c r="C43" s="34">
        <f>IF(B43="","",IF(COUNTIF('用胶项目'!$A$8:$A$207,B43)&lt;&gt;1,"编号缺失或重复",INDEX('用胶项目'!$B$8:$B$207,MATCH(B43,'用胶项目'!$A$8:$A$207,0))))</f>
        <v/>
      </c>
      <c r="D43" s="32" t="n"/>
      <c r="E43" s="10" t="n"/>
      <c r="F43" s="38" t="n"/>
      <c r="G43" s="10" t="n"/>
      <c r="H43" s="10" t="n"/>
      <c r="I43" s="10" t="n"/>
      <c r="J43" s="33" t="n"/>
      <c r="K43" s="32" t="n"/>
      <c r="L43" s="33" t="n"/>
      <c r="M43" s="32" t="n"/>
      <c r="N43" s="33" t="n"/>
      <c r="O43" s="10" t="n"/>
      <c r="P43" s="10" t="n"/>
      <c r="Q43" s="10" t="n"/>
      <c r="R43" s="10" t="n"/>
      <c r="S43" s="10" t="n"/>
      <c r="T43" s="32" t="n"/>
      <c r="U43" s="32" t="n"/>
      <c r="V43" s="16">
        <f>IF(A43="","",IF(OR(COUNTIF($A$8:$A$207,A43)&lt;&gt;1,COUNTIF('用胶项目'!$A$8:$A$207,B43)&lt;&gt;1,AND(D43&lt;&gt;"",COUNTIF('联系人'!$A$8:$A$207,D43)&lt;&gt;1),AND(M43&lt;&gt;"",COUNTIF('联系人'!$A$8:$A$207,M43)&lt;&gt;1),AND(T43&lt;&gt;"",COUNTIF('跟进待办'!$A$8:$A$207,T43)&lt;&gt;1),AND(U43&lt;&gt;"",COUNTIF('沟通记录'!$A$8:$A$207,U43)&lt;&gt;1)),"检查编号或关联","正常"))</f>
        <v/>
      </c>
    </row>
    <row r="44" ht="34" customHeight="1">
      <c r="A44" s="32" t="n"/>
      <c r="B44" s="32" t="n"/>
      <c r="C44" s="34">
        <f>IF(B44="","",IF(COUNTIF('用胶项目'!$A$8:$A$207,B44)&lt;&gt;1,"编号缺失或重复",INDEX('用胶项目'!$B$8:$B$207,MATCH(B44,'用胶项目'!$A$8:$A$207,0))))</f>
        <v/>
      </c>
      <c r="D44" s="32" t="n"/>
      <c r="E44" s="10" t="n"/>
      <c r="F44" s="38" t="n"/>
      <c r="G44" s="10" t="n"/>
      <c r="H44" s="10" t="n"/>
      <c r="I44" s="10" t="n"/>
      <c r="J44" s="33" t="n"/>
      <c r="K44" s="32" t="n"/>
      <c r="L44" s="33" t="n"/>
      <c r="M44" s="32" t="n"/>
      <c r="N44" s="33" t="n"/>
      <c r="O44" s="10" t="n"/>
      <c r="P44" s="10" t="n"/>
      <c r="Q44" s="10" t="n"/>
      <c r="R44" s="10" t="n"/>
      <c r="S44" s="10" t="n"/>
      <c r="T44" s="32" t="n"/>
      <c r="U44" s="32" t="n"/>
      <c r="V44" s="16">
        <f>IF(A44="","",IF(OR(COUNTIF($A$8:$A$207,A44)&lt;&gt;1,COUNTIF('用胶项目'!$A$8:$A$207,B44)&lt;&gt;1,AND(D44&lt;&gt;"",COUNTIF('联系人'!$A$8:$A$207,D44)&lt;&gt;1),AND(M44&lt;&gt;"",COUNTIF('联系人'!$A$8:$A$207,M44)&lt;&gt;1),AND(T44&lt;&gt;"",COUNTIF('跟进待办'!$A$8:$A$207,T44)&lt;&gt;1),AND(U44&lt;&gt;"",COUNTIF('沟通记录'!$A$8:$A$207,U44)&lt;&gt;1)),"检查编号或关联","正常"))</f>
        <v/>
      </c>
    </row>
    <row r="45" ht="34" customHeight="1">
      <c r="A45" s="32" t="n"/>
      <c r="B45" s="32" t="n"/>
      <c r="C45" s="34">
        <f>IF(B45="","",IF(COUNTIF('用胶项目'!$A$8:$A$207,B45)&lt;&gt;1,"编号缺失或重复",INDEX('用胶项目'!$B$8:$B$207,MATCH(B45,'用胶项目'!$A$8:$A$207,0))))</f>
        <v/>
      </c>
      <c r="D45" s="32" t="n"/>
      <c r="E45" s="10" t="n"/>
      <c r="F45" s="38" t="n"/>
      <c r="G45" s="10" t="n"/>
      <c r="H45" s="10" t="n"/>
      <c r="I45" s="10" t="n"/>
      <c r="J45" s="33" t="n"/>
      <c r="K45" s="32" t="n"/>
      <c r="L45" s="33" t="n"/>
      <c r="M45" s="32" t="n"/>
      <c r="N45" s="33" t="n"/>
      <c r="O45" s="10" t="n"/>
      <c r="P45" s="10" t="n"/>
      <c r="Q45" s="10" t="n"/>
      <c r="R45" s="10" t="n"/>
      <c r="S45" s="10" t="n"/>
      <c r="T45" s="32" t="n"/>
      <c r="U45" s="32" t="n"/>
      <c r="V45" s="16">
        <f>IF(A45="","",IF(OR(COUNTIF($A$8:$A$207,A45)&lt;&gt;1,COUNTIF('用胶项目'!$A$8:$A$207,B45)&lt;&gt;1,AND(D45&lt;&gt;"",COUNTIF('联系人'!$A$8:$A$207,D45)&lt;&gt;1),AND(M45&lt;&gt;"",COUNTIF('联系人'!$A$8:$A$207,M45)&lt;&gt;1),AND(T45&lt;&gt;"",COUNTIF('跟进待办'!$A$8:$A$207,T45)&lt;&gt;1),AND(U45&lt;&gt;"",COUNTIF('沟通记录'!$A$8:$A$207,U45)&lt;&gt;1)),"检查编号或关联","正常"))</f>
        <v/>
      </c>
    </row>
    <row r="46" ht="34" customHeight="1">
      <c r="A46" s="32" t="n"/>
      <c r="B46" s="32" t="n"/>
      <c r="C46" s="34">
        <f>IF(B46="","",IF(COUNTIF('用胶项目'!$A$8:$A$207,B46)&lt;&gt;1,"编号缺失或重复",INDEX('用胶项目'!$B$8:$B$207,MATCH(B46,'用胶项目'!$A$8:$A$207,0))))</f>
        <v/>
      </c>
      <c r="D46" s="32" t="n"/>
      <c r="E46" s="10" t="n"/>
      <c r="F46" s="38" t="n"/>
      <c r="G46" s="10" t="n"/>
      <c r="H46" s="10" t="n"/>
      <c r="I46" s="10" t="n"/>
      <c r="J46" s="33" t="n"/>
      <c r="K46" s="32" t="n"/>
      <c r="L46" s="33" t="n"/>
      <c r="M46" s="32" t="n"/>
      <c r="N46" s="33" t="n"/>
      <c r="O46" s="10" t="n"/>
      <c r="P46" s="10" t="n"/>
      <c r="Q46" s="10" t="n"/>
      <c r="R46" s="10" t="n"/>
      <c r="S46" s="10" t="n"/>
      <c r="T46" s="32" t="n"/>
      <c r="U46" s="32" t="n"/>
      <c r="V46" s="16">
        <f>IF(A46="","",IF(OR(COUNTIF($A$8:$A$207,A46)&lt;&gt;1,COUNTIF('用胶项目'!$A$8:$A$207,B46)&lt;&gt;1,AND(D46&lt;&gt;"",COUNTIF('联系人'!$A$8:$A$207,D46)&lt;&gt;1),AND(M46&lt;&gt;"",COUNTIF('联系人'!$A$8:$A$207,M46)&lt;&gt;1),AND(T46&lt;&gt;"",COUNTIF('跟进待办'!$A$8:$A$207,T46)&lt;&gt;1),AND(U46&lt;&gt;"",COUNTIF('沟通记录'!$A$8:$A$207,U46)&lt;&gt;1)),"检查编号或关联","正常"))</f>
        <v/>
      </c>
    </row>
    <row r="47" ht="34" customHeight="1">
      <c r="A47" s="32" t="n"/>
      <c r="B47" s="32" t="n"/>
      <c r="C47" s="34">
        <f>IF(B47="","",IF(COUNTIF('用胶项目'!$A$8:$A$207,B47)&lt;&gt;1,"编号缺失或重复",INDEX('用胶项目'!$B$8:$B$207,MATCH(B47,'用胶项目'!$A$8:$A$207,0))))</f>
        <v/>
      </c>
      <c r="D47" s="32" t="n"/>
      <c r="E47" s="10" t="n"/>
      <c r="F47" s="38" t="n"/>
      <c r="G47" s="10" t="n"/>
      <c r="H47" s="10" t="n"/>
      <c r="I47" s="10" t="n"/>
      <c r="J47" s="33" t="n"/>
      <c r="K47" s="32" t="n"/>
      <c r="L47" s="33" t="n"/>
      <c r="M47" s="32" t="n"/>
      <c r="N47" s="33" t="n"/>
      <c r="O47" s="10" t="n"/>
      <c r="P47" s="10" t="n"/>
      <c r="Q47" s="10" t="n"/>
      <c r="R47" s="10" t="n"/>
      <c r="S47" s="10" t="n"/>
      <c r="T47" s="32" t="n"/>
      <c r="U47" s="32" t="n"/>
      <c r="V47" s="16">
        <f>IF(A47="","",IF(OR(COUNTIF($A$8:$A$207,A47)&lt;&gt;1,COUNTIF('用胶项目'!$A$8:$A$207,B47)&lt;&gt;1,AND(D47&lt;&gt;"",COUNTIF('联系人'!$A$8:$A$207,D47)&lt;&gt;1),AND(M47&lt;&gt;"",COUNTIF('联系人'!$A$8:$A$207,M47)&lt;&gt;1),AND(T47&lt;&gt;"",COUNTIF('跟进待办'!$A$8:$A$207,T47)&lt;&gt;1),AND(U47&lt;&gt;"",COUNTIF('沟通记录'!$A$8:$A$207,U47)&lt;&gt;1)),"检查编号或关联","正常"))</f>
        <v/>
      </c>
    </row>
    <row r="48" ht="34" customHeight="1">
      <c r="A48" s="32" t="n"/>
      <c r="B48" s="32" t="n"/>
      <c r="C48" s="34">
        <f>IF(B48="","",IF(COUNTIF('用胶项目'!$A$8:$A$207,B48)&lt;&gt;1,"编号缺失或重复",INDEX('用胶项目'!$B$8:$B$207,MATCH(B48,'用胶项目'!$A$8:$A$207,0))))</f>
        <v/>
      </c>
      <c r="D48" s="32" t="n"/>
      <c r="E48" s="10" t="n"/>
      <c r="F48" s="38" t="n"/>
      <c r="G48" s="10" t="n"/>
      <c r="H48" s="10" t="n"/>
      <c r="I48" s="10" t="n"/>
      <c r="J48" s="33" t="n"/>
      <c r="K48" s="32" t="n"/>
      <c r="L48" s="33" t="n"/>
      <c r="M48" s="32" t="n"/>
      <c r="N48" s="33" t="n"/>
      <c r="O48" s="10" t="n"/>
      <c r="P48" s="10" t="n"/>
      <c r="Q48" s="10" t="n"/>
      <c r="R48" s="10" t="n"/>
      <c r="S48" s="10" t="n"/>
      <c r="T48" s="32" t="n"/>
      <c r="U48" s="32" t="n"/>
      <c r="V48" s="16">
        <f>IF(A48="","",IF(OR(COUNTIF($A$8:$A$207,A48)&lt;&gt;1,COUNTIF('用胶项目'!$A$8:$A$207,B48)&lt;&gt;1,AND(D48&lt;&gt;"",COUNTIF('联系人'!$A$8:$A$207,D48)&lt;&gt;1),AND(M48&lt;&gt;"",COUNTIF('联系人'!$A$8:$A$207,M48)&lt;&gt;1),AND(T48&lt;&gt;"",COUNTIF('跟进待办'!$A$8:$A$207,T48)&lt;&gt;1),AND(U48&lt;&gt;"",COUNTIF('沟通记录'!$A$8:$A$207,U48)&lt;&gt;1)),"检查编号或关联","正常"))</f>
        <v/>
      </c>
    </row>
    <row r="49" ht="34" customHeight="1">
      <c r="A49" s="32" t="n"/>
      <c r="B49" s="32" t="n"/>
      <c r="C49" s="34">
        <f>IF(B49="","",IF(COUNTIF('用胶项目'!$A$8:$A$207,B49)&lt;&gt;1,"编号缺失或重复",INDEX('用胶项目'!$B$8:$B$207,MATCH(B49,'用胶项目'!$A$8:$A$207,0))))</f>
        <v/>
      </c>
      <c r="D49" s="32" t="n"/>
      <c r="E49" s="10" t="n"/>
      <c r="F49" s="38" t="n"/>
      <c r="G49" s="10" t="n"/>
      <c r="H49" s="10" t="n"/>
      <c r="I49" s="10" t="n"/>
      <c r="J49" s="33" t="n"/>
      <c r="K49" s="32" t="n"/>
      <c r="L49" s="33" t="n"/>
      <c r="M49" s="32" t="n"/>
      <c r="N49" s="33" t="n"/>
      <c r="O49" s="10" t="n"/>
      <c r="P49" s="10" t="n"/>
      <c r="Q49" s="10" t="n"/>
      <c r="R49" s="10" t="n"/>
      <c r="S49" s="10" t="n"/>
      <c r="T49" s="32" t="n"/>
      <c r="U49" s="32" t="n"/>
      <c r="V49" s="16">
        <f>IF(A49="","",IF(OR(COUNTIF($A$8:$A$207,A49)&lt;&gt;1,COUNTIF('用胶项目'!$A$8:$A$207,B49)&lt;&gt;1,AND(D49&lt;&gt;"",COUNTIF('联系人'!$A$8:$A$207,D49)&lt;&gt;1),AND(M49&lt;&gt;"",COUNTIF('联系人'!$A$8:$A$207,M49)&lt;&gt;1),AND(T49&lt;&gt;"",COUNTIF('跟进待办'!$A$8:$A$207,T49)&lt;&gt;1),AND(U49&lt;&gt;"",COUNTIF('沟通记录'!$A$8:$A$207,U49)&lt;&gt;1)),"检查编号或关联","正常"))</f>
        <v/>
      </c>
    </row>
    <row r="50" ht="34" customHeight="1">
      <c r="A50" s="32" t="n"/>
      <c r="B50" s="32" t="n"/>
      <c r="C50" s="34">
        <f>IF(B50="","",IF(COUNTIF('用胶项目'!$A$8:$A$207,B50)&lt;&gt;1,"编号缺失或重复",INDEX('用胶项目'!$B$8:$B$207,MATCH(B50,'用胶项目'!$A$8:$A$207,0))))</f>
        <v/>
      </c>
      <c r="D50" s="32" t="n"/>
      <c r="E50" s="10" t="n"/>
      <c r="F50" s="38" t="n"/>
      <c r="G50" s="10" t="n"/>
      <c r="H50" s="10" t="n"/>
      <c r="I50" s="10" t="n"/>
      <c r="J50" s="33" t="n"/>
      <c r="K50" s="32" t="n"/>
      <c r="L50" s="33" t="n"/>
      <c r="M50" s="32" t="n"/>
      <c r="N50" s="33" t="n"/>
      <c r="O50" s="10" t="n"/>
      <c r="P50" s="10" t="n"/>
      <c r="Q50" s="10" t="n"/>
      <c r="R50" s="10" t="n"/>
      <c r="S50" s="10" t="n"/>
      <c r="T50" s="32" t="n"/>
      <c r="U50" s="32" t="n"/>
      <c r="V50" s="16">
        <f>IF(A50="","",IF(OR(COUNTIF($A$8:$A$207,A50)&lt;&gt;1,COUNTIF('用胶项目'!$A$8:$A$207,B50)&lt;&gt;1,AND(D50&lt;&gt;"",COUNTIF('联系人'!$A$8:$A$207,D50)&lt;&gt;1),AND(M50&lt;&gt;"",COUNTIF('联系人'!$A$8:$A$207,M50)&lt;&gt;1),AND(T50&lt;&gt;"",COUNTIF('跟进待办'!$A$8:$A$207,T50)&lt;&gt;1),AND(U50&lt;&gt;"",COUNTIF('沟通记录'!$A$8:$A$207,U50)&lt;&gt;1)),"检查编号或关联","正常"))</f>
        <v/>
      </c>
    </row>
    <row r="51" ht="34" customHeight="1">
      <c r="A51" s="32" t="n"/>
      <c r="B51" s="32" t="n"/>
      <c r="C51" s="34">
        <f>IF(B51="","",IF(COUNTIF('用胶项目'!$A$8:$A$207,B51)&lt;&gt;1,"编号缺失或重复",INDEX('用胶项目'!$B$8:$B$207,MATCH(B51,'用胶项目'!$A$8:$A$207,0))))</f>
        <v/>
      </c>
      <c r="D51" s="32" t="n"/>
      <c r="E51" s="10" t="n"/>
      <c r="F51" s="38" t="n"/>
      <c r="G51" s="10" t="n"/>
      <c r="H51" s="10" t="n"/>
      <c r="I51" s="10" t="n"/>
      <c r="J51" s="33" t="n"/>
      <c r="K51" s="32" t="n"/>
      <c r="L51" s="33" t="n"/>
      <c r="M51" s="32" t="n"/>
      <c r="N51" s="33" t="n"/>
      <c r="O51" s="10" t="n"/>
      <c r="P51" s="10" t="n"/>
      <c r="Q51" s="10" t="n"/>
      <c r="R51" s="10" t="n"/>
      <c r="S51" s="10" t="n"/>
      <c r="T51" s="32" t="n"/>
      <c r="U51" s="32" t="n"/>
      <c r="V51" s="16">
        <f>IF(A51="","",IF(OR(COUNTIF($A$8:$A$207,A51)&lt;&gt;1,COUNTIF('用胶项目'!$A$8:$A$207,B51)&lt;&gt;1,AND(D51&lt;&gt;"",COUNTIF('联系人'!$A$8:$A$207,D51)&lt;&gt;1),AND(M51&lt;&gt;"",COUNTIF('联系人'!$A$8:$A$207,M51)&lt;&gt;1),AND(T51&lt;&gt;"",COUNTIF('跟进待办'!$A$8:$A$207,T51)&lt;&gt;1),AND(U51&lt;&gt;"",COUNTIF('沟通记录'!$A$8:$A$207,U51)&lt;&gt;1)),"检查编号或关联","正常"))</f>
        <v/>
      </c>
    </row>
    <row r="52" ht="34" customHeight="1">
      <c r="A52" s="32" t="n"/>
      <c r="B52" s="32" t="n"/>
      <c r="C52" s="34">
        <f>IF(B52="","",IF(COUNTIF('用胶项目'!$A$8:$A$207,B52)&lt;&gt;1,"编号缺失或重复",INDEX('用胶项目'!$B$8:$B$207,MATCH(B52,'用胶项目'!$A$8:$A$207,0))))</f>
        <v/>
      </c>
      <c r="D52" s="32" t="n"/>
      <c r="E52" s="10" t="n"/>
      <c r="F52" s="38" t="n"/>
      <c r="G52" s="10" t="n"/>
      <c r="H52" s="10" t="n"/>
      <c r="I52" s="10" t="n"/>
      <c r="J52" s="33" t="n"/>
      <c r="K52" s="32" t="n"/>
      <c r="L52" s="33" t="n"/>
      <c r="M52" s="32" t="n"/>
      <c r="N52" s="33" t="n"/>
      <c r="O52" s="10" t="n"/>
      <c r="P52" s="10" t="n"/>
      <c r="Q52" s="10" t="n"/>
      <c r="R52" s="10" t="n"/>
      <c r="S52" s="10" t="n"/>
      <c r="T52" s="32" t="n"/>
      <c r="U52" s="32" t="n"/>
      <c r="V52" s="16">
        <f>IF(A52="","",IF(OR(COUNTIF($A$8:$A$207,A52)&lt;&gt;1,COUNTIF('用胶项目'!$A$8:$A$207,B52)&lt;&gt;1,AND(D52&lt;&gt;"",COUNTIF('联系人'!$A$8:$A$207,D52)&lt;&gt;1),AND(M52&lt;&gt;"",COUNTIF('联系人'!$A$8:$A$207,M52)&lt;&gt;1),AND(T52&lt;&gt;"",COUNTIF('跟进待办'!$A$8:$A$207,T52)&lt;&gt;1),AND(U52&lt;&gt;"",COUNTIF('沟通记录'!$A$8:$A$207,U52)&lt;&gt;1)),"检查编号或关联","正常"))</f>
        <v/>
      </c>
    </row>
    <row r="53" ht="34" customHeight="1">
      <c r="A53" s="32" t="n"/>
      <c r="B53" s="32" t="n"/>
      <c r="C53" s="34">
        <f>IF(B53="","",IF(COUNTIF('用胶项目'!$A$8:$A$207,B53)&lt;&gt;1,"编号缺失或重复",INDEX('用胶项目'!$B$8:$B$207,MATCH(B53,'用胶项目'!$A$8:$A$207,0))))</f>
        <v/>
      </c>
      <c r="D53" s="32" t="n"/>
      <c r="E53" s="10" t="n"/>
      <c r="F53" s="38" t="n"/>
      <c r="G53" s="10" t="n"/>
      <c r="H53" s="10" t="n"/>
      <c r="I53" s="10" t="n"/>
      <c r="J53" s="33" t="n"/>
      <c r="K53" s="32" t="n"/>
      <c r="L53" s="33" t="n"/>
      <c r="M53" s="32" t="n"/>
      <c r="N53" s="33" t="n"/>
      <c r="O53" s="10" t="n"/>
      <c r="P53" s="10" t="n"/>
      <c r="Q53" s="10" t="n"/>
      <c r="R53" s="10" t="n"/>
      <c r="S53" s="10" t="n"/>
      <c r="T53" s="32" t="n"/>
      <c r="U53" s="32" t="n"/>
      <c r="V53" s="16">
        <f>IF(A53="","",IF(OR(COUNTIF($A$8:$A$207,A53)&lt;&gt;1,COUNTIF('用胶项目'!$A$8:$A$207,B53)&lt;&gt;1,AND(D53&lt;&gt;"",COUNTIF('联系人'!$A$8:$A$207,D53)&lt;&gt;1),AND(M53&lt;&gt;"",COUNTIF('联系人'!$A$8:$A$207,M53)&lt;&gt;1),AND(T53&lt;&gt;"",COUNTIF('跟进待办'!$A$8:$A$207,T53)&lt;&gt;1),AND(U53&lt;&gt;"",COUNTIF('沟通记录'!$A$8:$A$207,U53)&lt;&gt;1)),"检查编号或关联","正常"))</f>
        <v/>
      </c>
    </row>
    <row r="54" ht="34" customHeight="1">
      <c r="A54" s="32" t="n"/>
      <c r="B54" s="32" t="n"/>
      <c r="C54" s="34">
        <f>IF(B54="","",IF(COUNTIF('用胶项目'!$A$8:$A$207,B54)&lt;&gt;1,"编号缺失或重复",INDEX('用胶项目'!$B$8:$B$207,MATCH(B54,'用胶项目'!$A$8:$A$207,0))))</f>
        <v/>
      </c>
      <c r="D54" s="32" t="n"/>
      <c r="E54" s="10" t="n"/>
      <c r="F54" s="38" t="n"/>
      <c r="G54" s="10" t="n"/>
      <c r="H54" s="10" t="n"/>
      <c r="I54" s="10" t="n"/>
      <c r="J54" s="33" t="n"/>
      <c r="K54" s="32" t="n"/>
      <c r="L54" s="33" t="n"/>
      <c r="M54" s="32" t="n"/>
      <c r="N54" s="33" t="n"/>
      <c r="O54" s="10" t="n"/>
      <c r="P54" s="10" t="n"/>
      <c r="Q54" s="10" t="n"/>
      <c r="R54" s="10" t="n"/>
      <c r="S54" s="10" t="n"/>
      <c r="T54" s="32" t="n"/>
      <c r="U54" s="32" t="n"/>
      <c r="V54" s="16">
        <f>IF(A54="","",IF(OR(COUNTIF($A$8:$A$207,A54)&lt;&gt;1,COUNTIF('用胶项目'!$A$8:$A$207,B54)&lt;&gt;1,AND(D54&lt;&gt;"",COUNTIF('联系人'!$A$8:$A$207,D54)&lt;&gt;1),AND(M54&lt;&gt;"",COUNTIF('联系人'!$A$8:$A$207,M54)&lt;&gt;1),AND(T54&lt;&gt;"",COUNTIF('跟进待办'!$A$8:$A$207,T54)&lt;&gt;1),AND(U54&lt;&gt;"",COUNTIF('沟通记录'!$A$8:$A$207,U54)&lt;&gt;1)),"检查编号或关联","正常"))</f>
        <v/>
      </c>
    </row>
    <row r="55" ht="34" customHeight="1">
      <c r="A55" s="32" t="n"/>
      <c r="B55" s="32" t="n"/>
      <c r="C55" s="34">
        <f>IF(B55="","",IF(COUNTIF('用胶项目'!$A$8:$A$207,B55)&lt;&gt;1,"编号缺失或重复",INDEX('用胶项目'!$B$8:$B$207,MATCH(B55,'用胶项目'!$A$8:$A$207,0))))</f>
        <v/>
      </c>
      <c r="D55" s="32" t="n"/>
      <c r="E55" s="10" t="n"/>
      <c r="F55" s="38" t="n"/>
      <c r="G55" s="10" t="n"/>
      <c r="H55" s="10" t="n"/>
      <c r="I55" s="10" t="n"/>
      <c r="J55" s="33" t="n"/>
      <c r="K55" s="32" t="n"/>
      <c r="L55" s="33" t="n"/>
      <c r="M55" s="32" t="n"/>
      <c r="N55" s="33" t="n"/>
      <c r="O55" s="10" t="n"/>
      <c r="P55" s="10" t="n"/>
      <c r="Q55" s="10" t="n"/>
      <c r="R55" s="10" t="n"/>
      <c r="S55" s="10" t="n"/>
      <c r="T55" s="32" t="n"/>
      <c r="U55" s="32" t="n"/>
      <c r="V55" s="16">
        <f>IF(A55="","",IF(OR(COUNTIF($A$8:$A$207,A55)&lt;&gt;1,COUNTIF('用胶项目'!$A$8:$A$207,B55)&lt;&gt;1,AND(D55&lt;&gt;"",COUNTIF('联系人'!$A$8:$A$207,D55)&lt;&gt;1),AND(M55&lt;&gt;"",COUNTIF('联系人'!$A$8:$A$207,M55)&lt;&gt;1),AND(T55&lt;&gt;"",COUNTIF('跟进待办'!$A$8:$A$207,T55)&lt;&gt;1),AND(U55&lt;&gt;"",COUNTIF('沟通记录'!$A$8:$A$207,U55)&lt;&gt;1)),"检查编号或关联","正常"))</f>
        <v/>
      </c>
    </row>
    <row r="56" ht="34" customHeight="1">
      <c r="A56" s="32" t="n"/>
      <c r="B56" s="32" t="n"/>
      <c r="C56" s="34">
        <f>IF(B56="","",IF(COUNTIF('用胶项目'!$A$8:$A$207,B56)&lt;&gt;1,"编号缺失或重复",INDEX('用胶项目'!$B$8:$B$207,MATCH(B56,'用胶项目'!$A$8:$A$207,0))))</f>
        <v/>
      </c>
      <c r="D56" s="32" t="n"/>
      <c r="E56" s="10" t="n"/>
      <c r="F56" s="38" t="n"/>
      <c r="G56" s="10" t="n"/>
      <c r="H56" s="10" t="n"/>
      <c r="I56" s="10" t="n"/>
      <c r="J56" s="33" t="n"/>
      <c r="K56" s="32" t="n"/>
      <c r="L56" s="33" t="n"/>
      <c r="M56" s="32" t="n"/>
      <c r="N56" s="33" t="n"/>
      <c r="O56" s="10" t="n"/>
      <c r="P56" s="10" t="n"/>
      <c r="Q56" s="10" t="n"/>
      <c r="R56" s="10" t="n"/>
      <c r="S56" s="10" t="n"/>
      <c r="T56" s="32" t="n"/>
      <c r="U56" s="32" t="n"/>
      <c r="V56" s="16">
        <f>IF(A56="","",IF(OR(COUNTIF($A$8:$A$207,A56)&lt;&gt;1,COUNTIF('用胶项目'!$A$8:$A$207,B56)&lt;&gt;1,AND(D56&lt;&gt;"",COUNTIF('联系人'!$A$8:$A$207,D56)&lt;&gt;1),AND(M56&lt;&gt;"",COUNTIF('联系人'!$A$8:$A$207,M56)&lt;&gt;1),AND(T56&lt;&gt;"",COUNTIF('跟进待办'!$A$8:$A$207,T56)&lt;&gt;1),AND(U56&lt;&gt;"",COUNTIF('沟通记录'!$A$8:$A$207,U56)&lt;&gt;1)),"检查编号或关联","正常"))</f>
        <v/>
      </c>
    </row>
    <row r="57" ht="34" customHeight="1">
      <c r="A57" s="32" t="n"/>
      <c r="B57" s="32" t="n"/>
      <c r="C57" s="34">
        <f>IF(B57="","",IF(COUNTIF('用胶项目'!$A$8:$A$207,B57)&lt;&gt;1,"编号缺失或重复",INDEX('用胶项目'!$B$8:$B$207,MATCH(B57,'用胶项目'!$A$8:$A$207,0))))</f>
        <v/>
      </c>
      <c r="D57" s="32" t="n"/>
      <c r="E57" s="10" t="n"/>
      <c r="F57" s="38" t="n"/>
      <c r="G57" s="10" t="n"/>
      <c r="H57" s="10" t="n"/>
      <c r="I57" s="10" t="n"/>
      <c r="J57" s="33" t="n"/>
      <c r="K57" s="32" t="n"/>
      <c r="L57" s="33" t="n"/>
      <c r="M57" s="32" t="n"/>
      <c r="N57" s="33" t="n"/>
      <c r="O57" s="10" t="n"/>
      <c r="P57" s="10" t="n"/>
      <c r="Q57" s="10" t="n"/>
      <c r="R57" s="10" t="n"/>
      <c r="S57" s="10" t="n"/>
      <c r="T57" s="32" t="n"/>
      <c r="U57" s="32" t="n"/>
      <c r="V57" s="16">
        <f>IF(A57="","",IF(OR(COUNTIF($A$8:$A$207,A57)&lt;&gt;1,COUNTIF('用胶项目'!$A$8:$A$207,B57)&lt;&gt;1,AND(D57&lt;&gt;"",COUNTIF('联系人'!$A$8:$A$207,D57)&lt;&gt;1),AND(M57&lt;&gt;"",COUNTIF('联系人'!$A$8:$A$207,M57)&lt;&gt;1),AND(T57&lt;&gt;"",COUNTIF('跟进待办'!$A$8:$A$207,T57)&lt;&gt;1),AND(U57&lt;&gt;"",COUNTIF('沟通记录'!$A$8:$A$207,U57)&lt;&gt;1)),"检查编号或关联","正常"))</f>
        <v/>
      </c>
    </row>
    <row r="58" ht="34" customHeight="1">
      <c r="A58" s="32" t="n"/>
      <c r="B58" s="32" t="n"/>
      <c r="C58" s="34">
        <f>IF(B58="","",IF(COUNTIF('用胶项目'!$A$8:$A$207,B58)&lt;&gt;1,"编号缺失或重复",INDEX('用胶项目'!$B$8:$B$207,MATCH(B58,'用胶项目'!$A$8:$A$207,0))))</f>
        <v/>
      </c>
      <c r="D58" s="32" t="n"/>
      <c r="E58" s="10" t="n"/>
      <c r="F58" s="38" t="n"/>
      <c r="G58" s="10" t="n"/>
      <c r="H58" s="10" t="n"/>
      <c r="I58" s="10" t="n"/>
      <c r="J58" s="33" t="n"/>
      <c r="K58" s="32" t="n"/>
      <c r="L58" s="33" t="n"/>
      <c r="M58" s="32" t="n"/>
      <c r="N58" s="33" t="n"/>
      <c r="O58" s="10" t="n"/>
      <c r="P58" s="10" t="n"/>
      <c r="Q58" s="10" t="n"/>
      <c r="R58" s="10" t="n"/>
      <c r="S58" s="10" t="n"/>
      <c r="T58" s="32" t="n"/>
      <c r="U58" s="32" t="n"/>
      <c r="V58" s="16">
        <f>IF(A58="","",IF(OR(COUNTIF($A$8:$A$207,A58)&lt;&gt;1,COUNTIF('用胶项目'!$A$8:$A$207,B58)&lt;&gt;1,AND(D58&lt;&gt;"",COUNTIF('联系人'!$A$8:$A$207,D58)&lt;&gt;1),AND(M58&lt;&gt;"",COUNTIF('联系人'!$A$8:$A$207,M58)&lt;&gt;1),AND(T58&lt;&gt;"",COUNTIF('跟进待办'!$A$8:$A$207,T58)&lt;&gt;1),AND(U58&lt;&gt;"",COUNTIF('沟通记录'!$A$8:$A$207,U58)&lt;&gt;1)),"检查编号或关联","正常"))</f>
        <v/>
      </c>
    </row>
    <row r="59" ht="34" customHeight="1">
      <c r="A59" s="32" t="n"/>
      <c r="B59" s="32" t="n"/>
      <c r="C59" s="34">
        <f>IF(B59="","",IF(COUNTIF('用胶项目'!$A$8:$A$207,B59)&lt;&gt;1,"编号缺失或重复",INDEX('用胶项目'!$B$8:$B$207,MATCH(B59,'用胶项目'!$A$8:$A$207,0))))</f>
        <v/>
      </c>
      <c r="D59" s="32" t="n"/>
      <c r="E59" s="10" t="n"/>
      <c r="F59" s="38" t="n"/>
      <c r="G59" s="10" t="n"/>
      <c r="H59" s="10" t="n"/>
      <c r="I59" s="10" t="n"/>
      <c r="J59" s="33" t="n"/>
      <c r="K59" s="32" t="n"/>
      <c r="L59" s="33" t="n"/>
      <c r="M59" s="32" t="n"/>
      <c r="N59" s="33" t="n"/>
      <c r="O59" s="10" t="n"/>
      <c r="P59" s="10" t="n"/>
      <c r="Q59" s="10" t="n"/>
      <c r="R59" s="10" t="n"/>
      <c r="S59" s="10" t="n"/>
      <c r="T59" s="32" t="n"/>
      <c r="U59" s="32" t="n"/>
      <c r="V59" s="16">
        <f>IF(A59="","",IF(OR(COUNTIF($A$8:$A$207,A59)&lt;&gt;1,COUNTIF('用胶项目'!$A$8:$A$207,B59)&lt;&gt;1,AND(D59&lt;&gt;"",COUNTIF('联系人'!$A$8:$A$207,D59)&lt;&gt;1),AND(M59&lt;&gt;"",COUNTIF('联系人'!$A$8:$A$207,M59)&lt;&gt;1),AND(T59&lt;&gt;"",COUNTIF('跟进待办'!$A$8:$A$207,T59)&lt;&gt;1),AND(U59&lt;&gt;"",COUNTIF('沟通记录'!$A$8:$A$207,U59)&lt;&gt;1)),"检查编号或关联","正常"))</f>
        <v/>
      </c>
    </row>
    <row r="60" ht="34" customHeight="1">
      <c r="A60" s="32" t="n"/>
      <c r="B60" s="32" t="n"/>
      <c r="C60" s="34">
        <f>IF(B60="","",IF(COUNTIF('用胶项目'!$A$8:$A$207,B60)&lt;&gt;1,"编号缺失或重复",INDEX('用胶项目'!$B$8:$B$207,MATCH(B60,'用胶项目'!$A$8:$A$207,0))))</f>
        <v/>
      </c>
      <c r="D60" s="32" t="n"/>
      <c r="E60" s="10" t="n"/>
      <c r="F60" s="38" t="n"/>
      <c r="G60" s="10" t="n"/>
      <c r="H60" s="10" t="n"/>
      <c r="I60" s="10" t="n"/>
      <c r="J60" s="33" t="n"/>
      <c r="K60" s="32" t="n"/>
      <c r="L60" s="33" t="n"/>
      <c r="M60" s="32" t="n"/>
      <c r="N60" s="33" t="n"/>
      <c r="O60" s="10" t="n"/>
      <c r="P60" s="10" t="n"/>
      <c r="Q60" s="10" t="n"/>
      <c r="R60" s="10" t="n"/>
      <c r="S60" s="10" t="n"/>
      <c r="T60" s="32" t="n"/>
      <c r="U60" s="32" t="n"/>
      <c r="V60" s="16">
        <f>IF(A60="","",IF(OR(COUNTIF($A$8:$A$207,A60)&lt;&gt;1,COUNTIF('用胶项目'!$A$8:$A$207,B60)&lt;&gt;1,AND(D60&lt;&gt;"",COUNTIF('联系人'!$A$8:$A$207,D60)&lt;&gt;1),AND(M60&lt;&gt;"",COUNTIF('联系人'!$A$8:$A$207,M60)&lt;&gt;1),AND(T60&lt;&gt;"",COUNTIF('跟进待办'!$A$8:$A$207,T60)&lt;&gt;1),AND(U60&lt;&gt;"",COUNTIF('沟通记录'!$A$8:$A$207,U60)&lt;&gt;1)),"检查编号或关联","正常"))</f>
        <v/>
      </c>
    </row>
    <row r="61" ht="34" customHeight="1">
      <c r="A61" s="32" t="n"/>
      <c r="B61" s="32" t="n"/>
      <c r="C61" s="34">
        <f>IF(B61="","",IF(COUNTIF('用胶项目'!$A$8:$A$207,B61)&lt;&gt;1,"编号缺失或重复",INDEX('用胶项目'!$B$8:$B$207,MATCH(B61,'用胶项目'!$A$8:$A$207,0))))</f>
        <v/>
      </c>
      <c r="D61" s="32" t="n"/>
      <c r="E61" s="10" t="n"/>
      <c r="F61" s="38" t="n"/>
      <c r="G61" s="10" t="n"/>
      <c r="H61" s="10" t="n"/>
      <c r="I61" s="10" t="n"/>
      <c r="J61" s="33" t="n"/>
      <c r="K61" s="32" t="n"/>
      <c r="L61" s="33" t="n"/>
      <c r="M61" s="32" t="n"/>
      <c r="N61" s="33" t="n"/>
      <c r="O61" s="10" t="n"/>
      <c r="P61" s="10" t="n"/>
      <c r="Q61" s="10" t="n"/>
      <c r="R61" s="10" t="n"/>
      <c r="S61" s="10" t="n"/>
      <c r="T61" s="32" t="n"/>
      <c r="U61" s="32" t="n"/>
      <c r="V61" s="16">
        <f>IF(A61="","",IF(OR(COUNTIF($A$8:$A$207,A61)&lt;&gt;1,COUNTIF('用胶项目'!$A$8:$A$207,B61)&lt;&gt;1,AND(D61&lt;&gt;"",COUNTIF('联系人'!$A$8:$A$207,D61)&lt;&gt;1),AND(M61&lt;&gt;"",COUNTIF('联系人'!$A$8:$A$207,M61)&lt;&gt;1),AND(T61&lt;&gt;"",COUNTIF('跟进待办'!$A$8:$A$207,T61)&lt;&gt;1),AND(U61&lt;&gt;"",COUNTIF('沟通记录'!$A$8:$A$207,U61)&lt;&gt;1)),"检查编号或关联","正常"))</f>
        <v/>
      </c>
    </row>
    <row r="62" ht="34" customHeight="1">
      <c r="A62" s="32" t="n"/>
      <c r="B62" s="32" t="n"/>
      <c r="C62" s="34">
        <f>IF(B62="","",IF(COUNTIF('用胶项目'!$A$8:$A$207,B62)&lt;&gt;1,"编号缺失或重复",INDEX('用胶项目'!$B$8:$B$207,MATCH(B62,'用胶项目'!$A$8:$A$207,0))))</f>
        <v/>
      </c>
      <c r="D62" s="32" t="n"/>
      <c r="E62" s="10" t="n"/>
      <c r="F62" s="38" t="n"/>
      <c r="G62" s="10" t="n"/>
      <c r="H62" s="10" t="n"/>
      <c r="I62" s="10" t="n"/>
      <c r="J62" s="33" t="n"/>
      <c r="K62" s="32" t="n"/>
      <c r="L62" s="33" t="n"/>
      <c r="M62" s="32" t="n"/>
      <c r="N62" s="33" t="n"/>
      <c r="O62" s="10" t="n"/>
      <c r="P62" s="10" t="n"/>
      <c r="Q62" s="10" t="n"/>
      <c r="R62" s="10" t="n"/>
      <c r="S62" s="10" t="n"/>
      <c r="T62" s="32" t="n"/>
      <c r="U62" s="32" t="n"/>
      <c r="V62" s="16">
        <f>IF(A62="","",IF(OR(COUNTIF($A$8:$A$207,A62)&lt;&gt;1,COUNTIF('用胶项目'!$A$8:$A$207,B62)&lt;&gt;1,AND(D62&lt;&gt;"",COUNTIF('联系人'!$A$8:$A$207,D62)&lt;&gt;1),AND(M62&lt;&gt;"",COUNTIF('联系人'!$A$8:$A$207,M62)&lt;&gt;1),AND(T62&lt;&gt;"",COUNTIF('跟进待办'!$A$8:$A$207,T62)&lt;&gt;1),AND(U62&lt;&gt;"",COUNTIF('沟通记录'!$A$8:$A$207,U62)&lt;&gt;1)),"检查编号或关联","正常"))</f>
        <v/>
      </c>
    </row>
    <row r="63" ht="34" customHeight="1">
      <c r="A63" s="32" t="n"/>
      <c r="B63" s="32" t="n"/>
      <c r="C63" s="34">
        <f>IF(B63="","",IF(COUNTIF('用胶项目'!$A$8:$A$207,B63)&lt;&gt;1,"编号缺失或重复",INDEX('用胶项目'!$B$8:$B$207,MATCH(B63,'用胶项目'!$A$8:$A$207,0))))</f>
        <v/>
      </c>
      <c r="D63" s="32" t="n"/>
      <c r="E63" s="10" t="n"/>
      <c r="F63" s="38" t="n"/>
      <c r="G63" s="10" t="n"/>
      <c r="H63" s="10" t="n"/>
      <c r="I63" s="10" t="n"/>
      <c r="J63" s="33" t="n"/>
      <c r="K63" s="32" t="n"/>
      <c r="L63" s="33" t="n"/>
      <c r="M63" s="32" t="n"/>
      <c r="N63" s="33" t="n"/>
      <c r="O63" s="10" t="n"/>
      <c r="P63" s="10" t="n"/>
      <c r="Q63" s="10" t="n"/>
      <c r="R63" s="10" t="n"/>
      <c r="S63" s="10" t="n"/>
      <c r="T63" s="32" t="n"/>
      <c r="U63" s="32" t="n"/>
      <c r="V63" s="16">
        <f>IF(A63="","",IF(OR(COUNTIF($A$8:$A$207,A63)&lt;&gt;1,COUNTIF('用胶项目'!$A$8:$A$207,B63)&lt;&gt;1,AND(D63&lt;&gt;"",COUNTIF('联系人'!$A$8:$A$207,D63)&lt;&gt;1),AND(M63&lt;&gt;"",COUNTIF('联系人'!$A$8:$A$207,M63)&lt;&gt;1),AND(T63&lt;&gt;"",COUNTIF('跟进待办'!$A$8:$A$207,T63)&lt;&gt;1),AND(U63&lt;&gt;"",COUNTIF('沟通记录'!$A$8:$A$207,U63)&lt;&gt;1)),"检查编号或关联","正常"))</f>
        <v/>
      </c>
    </row>
    <row r="64" ht="34" customHeight="1">
      <c r="A64" s="32" t="n"/>
      <c r="B64" s="32" t="n"/>
      <c r="C64" s="34">
        <f>IF(B64="","",IF(COUNTIF('用胶项目'!$A$8:$A$207,B64)&lt;&gt;1,"编号缺失或重复",INDEX('用胶项目'!$B$8:$B$207,MATCH(B64,'用胶项目'!$A$8:$A$207,0))))</f>
        <v/>
      </c>
      <c r="D64" s="32" t="n"/>
      <c r="E64" s="10" t="n"/>
      <c r="F64" s="38" t="n"/>
      <c r="G64" s="10" t="n"/>
      <c r="H64" s="10" t="n"/>
      <c r="I64" s="10" t="n"/>
      <c r="J64" s="33" t="n"/>
      <c r="K64" s="32" t="n"/>
      <c r="L64" s="33" t="n"/>
      <c r="M64" s="32" t="n"/>
      <c r="N64" s="33" t="n"/>
      <c r="O64" s="10" t="n"/>
      <c r="P64" s="10" t="n"/>
      <c r="Q64" s="10" t="n"/>
      <c r="R64" s="10" t="n"/>
      <c r="S64" s="10" t="n"/>
      <c r="T64" s="32" t="n"/>
      <c r="U64" s="32" t="n"/>
      <c r="V64" s="16">
        <f>IF(A64="","",IF(OR(COUNTIF($A$8:$A$207,A64)&lt;&gt;1,COUNTIF('用胶项目'!$A$8:$A$207,B64)&lt;&gt;1,AND(D64&lt;&gt;"",COUNTIF('联系人'!$A$8:$A$207,D64)&lt;&gt;1),AND(M64&lt;&gt;"",COUNTIF('联系人'!$A$8:$A$207,M64)&lt;&gt;1),AND(T64&lt;&gt;"",COUNTIF('跟进待办'!$A$8:$A$207,T64)&lt;&gt;1),AND(U64&lt;&gt;"",COUNTIF('沟通记录'!$A$8:$A$207,U64)&lt;&gt;1)),"检查编号或关联","正常"))</f>
        <v/>
      </c>
    </row>
    <row r="65" ht="34" customHeight="1">
      <c r="A65" s="32" t="n"/>
      <c r="B65" s="32" t="n"/>
      <c r="C65" s="34">
        <f>IF(B65="","",IF(COUNTIF('用胶项目'!$A$8:$A$207,B65)&lt;&gt;1,"编号缺失或重复",INDEX('用胶项目'!$B$8:$B$207,MATCH(B65,'用胶项目'!$A$8:$A$207,0))))</f>
        <v/>
      </c>
      <c r="D65" s="32" t="n"/>
      <c r="E65" s="10" t="n"/>
      <c r="F65" s="38" t="n"/>
      <c r="G65" s="10" t="n"/>
      <c r="H65" s="10" t="n"/>
      <c r="I65" s="10" t="n"/>
      <c r="J65" s="33" t="n"/>
      <c r="K65" s="32" t="n"/>
      <c r="L65" s="33" t="n"/>
      <c r="M65" s="32" t="n"/>
      <c r="N65" s="33" t="n"/>
      <c r="O65" s="10" t="n"/>
      <c r="P65" s="10" t="n"/>
      <c r="Q65" s="10" t="n"/>
      <c r="R65" s="10" t="n"/>
      <c r="S65" s="10" t="n"/>
      <c r="T65" s="32" t="n"/>
      <c r="U65" s="32" t="n"/>
      <c r="V65" s="16">
        <f>IF(A65="","",IF(OR(COUNTIF($A$8:$A$207,A65)&lt;&gt;1,COUNTIF('用胶项目'!$A$8:$A$207,B65)&lt;&gt;1,AND(D65&lt;&gt;"",COUNTIF('联系人'!$A$8:$A$207,D65)&lt;&gt;1),AND(M65&lt;&gt;"",COUNTIF('联系人'!$A$8:$A$207,M65)&lt;&gt;1),AND(T65&lt;&gt;"",COUNTIF('跟进待办'!$A$8:$A$207,T65)&lt;&gt;1),AND(U65&lt;&gt;"",COUNTIF('沟通记录'!$A$8:$A$207,U65)&lt;&gt;1)),"检查编号或关联","正常"))</f>
        <v/>
      </c>
    </row>
    <row r="66" ht="34" customHeight="1">
      <c r="A66" s="32" t="n"/>
      <c r="B66" s="32" t="n"/>
      <c r="C66" s="34">
        <f>IF(B66="","",IF(COUNTIF('用胶项目'!$A$8:$A$207,B66)&lt;&gt;1,"编号缺失或重复",INDEX('用胶项目'!$B$8:$B$207,MATCH(B66,'用胶项目'!$A$8:$A$207,0))))</f>
        <v/>
      </c>
      <c r="D66" s="32" t="n"/>
      <c r="E66" s="10" t="n"/>
      <c r="F66" s="38" t="n"/>
      <c r="G66" s="10" t="n"/>
      <c r="H66" s="10" t="n"/>
      <c r="I66" s="10" t="n"/>
      <c r="J66" s="33" t="n"/>
      <c r="K66" s="32" t="n"/>
      <c r="L66" s="33" t="n"/>
      <c r="M66" s="32" t="n"/>
      <c r="N66" s="33" t="n"/>
      <c r="O66" s="10" t="n"/>
      <c r="P66" s="10" t="n"/>
      <c r="Q66" s="10" t="n"/>
      <c r="R66" s="10" t="n"/>
      <c r="S66" s="10" t="n"/>
      <c r="T66" s="32" t="n"/>
      <c r="U66" s="32" t="n"/>
      <c r="V66" s="16">
        <f>IF(A66="","",IF(OR(COUNTIF($A$8:$A$207,A66)&lt;&gt;1,COUNTIF('用胶项目'!$A$8:$A$207,B66)&lt;&gt;1,AND(D66&lt;&gt;"",COUNTIF('联系人'!$A$8:$A$207,D66)&lt;&gt;1),AND(M66&lt;&gt;"",COUNTIF('联系人'!$A$8:$A$207,M66)&lt;&gt;1),AND(T66&lt;&gt;"",COUNTIF('跟进待办'!$A$8:$A$207,T66)&lt;&gt;1),AND(U66&lt;&gt;"",COUNTIF('沟通记录'!$A$8:$A$207,U66)&lt;&gt;1)),"检查编号或关联","正常"))</f>
        <v/>
      </c>
    </row>
    <row r="67" ht="34" customHeight="1">
      <c r="A67" s="32" t="n"/>
      <c r="B67" s="32" t="n"/>
      <c r="C67" s="34">
        <f>IF(B67="","",IF(COUNTIF('用胶项目'!$A$8:$A$207,B67)&lt;&gt;1,"编号缺失或重复",INDEX('用胶项目'!$B$8:$B$207,MATCH(B67,'用胶项目'!$A$8:$A$207,0))))</f>
        <v/>
      </c>
      <c r="D67" s="32" t="n"/>
      <c r="E67" s="10" t="n"/>
      <c r="F67" s="38" t="n"/>
      <c r="G67" s="10" t="n"/>
      <c r="H67" s="10" t="n"/>
      <c r="I67" s="10" t="n"/>
      <c r="J67" s="33" t="n"/>
      <c r="K67" s="32" t="n"/>
      <c r="L67" s="33" t="n"/>
      <c r="M67" s="32" t="n"/>
      <c r="N67" s="33" t="n"/>
      <c r="O67" s="10" t="n"/>
      <c r="P67" s="10" t="n"/>
      <c r="Q67" s="10" t="n"/>
      <c r="R67" s="10" t="n"/>
      <c r="S67" s="10" t="n"/>
      <c r="T67" s="32" t="n"/>
      <c r="U67" s="32" t="n"/>
      <c r="V67" s="16">
        <f>IF(A67="","",IF(OR(COUNTIF($A$8:$A$207,A67)&lt;&gt;1,COUNTIF('用胶项目'!$A$8:$A$207,B67)&lt;&gt;1,AND(D67&lt;&gt;"",COUNTIF('联系人'!$A$8:$A$207,D67)&lt;&gt;1),AND(M67&lt;&gt;"",COUNTIF('联系人'!$A$8:$A$207,M67)&lt;&gt;1),AND(T67&lt;&gt;"",COUNTIF('跟进待办'!$A$8:$A$207,T67)&lt;&gt;1),AND(U67&lt;&gt;"",COUNTIF('沟通记录'!$A$8:$A$207,U67)&lt;&gt;1)),"检查编号或关联","正常"))</f>
        <v/>
      </c>
    </row>
    <row r="68" ht="34" customHeight="1">
      <c r="A68" s="32" t="n"/>
      <c r="B68" s="32" t="n"/>
      <c r="C68" s="34">
        <f>IF(B68="","",IF(COUNTIF('用胶项目'!$A$8:$A$207,B68)&lt;&gt;1,"编号缺失或重复",INDEX('用胶项目'!$B$8:$B$207,MATCH(B68,'用胶项目'!$A$8:$A$207,0))))</f>
        <v/>
      </c>
      <c r="D68" s="32" t="n"/>
      <c r="E68" s="10" t="n"/>
      <c r="F68" s="38" t="n"/>
      <c r="G68" s="10" t="n"/>
      <c r="H68" s="10" t="n"/>
      <c r="I68" s="10" t="n"/>
      <c r="J68" s="33" t="n"/>
      <c r="K68" s="32" t="n"/>
      <c r="L68" s="33" t="n"/>
      <c r="M68" s="32" t="n"/>
      <c r="N68" s="33" t="n"/>
      <c r="O68" s="10" t="n"/>
      <c r="P68" s="10" t="n"/>
      <c r="Q68" s="10" t="n"/>
      <c r="R68" s="10" t="n"/>
      <c r="S68" s="10" t="n"/>
      <c r="T68" s="32" t="n"/>
      <c r="U68" s="32" t="n"/>
      <c r="V68" s="16">
        <f>IF(A68="","",IF(OR(COUNTIF($A$8:$A$207,A68)&lt;&gt;1,COUNTIF('用胶项目'!$A$8:$A$207,B68)&lt;&gt;1,AND(D68&lt;&gt;"",COUNTIF('联系人'!$A$8:$A$207,D68)&lt;&gt;1),AND(M68&lt;&gt;"",COUNTIF('联系人'!$A$8:$A$207,M68)&lt;&gt;1),AND(T68&lt;&gt;"",COUNTIF('跟进待办'!$A$8:$A$207,T68)&lt;&gt;1),AND(U68&lt;&gt;"",COUNTIF('沟通记录'!$A$8:$A$207,U68)&lt;&gt;1)),"检查编号或关联","正常"))</f>
        <v/>
      </c>
    </row>
    <row r="69" ht="34" customHeight="1">
      <c r="A69" s="32" t="n"/>
      <c r="B69" s="32" t="n"/>
      <c r="C69" s="34">
        <f>IF(B69="","",IF(COUNTIF('用胶项目'!$A$8:$A$207,B69)&lt;&gt;1,"编号缺失或重复",INDEX('用胶项目'!$B$8:$B$207,MATCH(B69,'用胶项目'!$A$8:$A$207,0))))</f>
        <v/>
      </c>
      <c r="D69" s="32" t="n"/>
      <c r="E69" s="10" t="n"/>
      <c r="F69" s="38" t="n"/>
      <c r="G69" s="10" t="n"/>
      <c r="H69" s="10" t="n"/>
      <c r="I69" s="10" t="n"/>
      <c r="J69" s="33" t="n"/>
      <c r="K69" s="32" t="n"/>
      <c r="L69" s="33" t="n"/>
      <c r="M69" s="32" t="n"/>
      <c r="N69" s="33" t="n"/>
      <c r="O69" s="10" t="n"/>
      <c r="P69" s="10" t="n"/>
      <c r="Q69" s="10" t="n"/>
      <c r="R69" s="10" t="n"/>
      <c r="S69" s="10" t="n"/>
      <c r="T69" s="32" t="n"/>
      <c r="U69" s="32" t="n"/>
      <c r="V69" s="16">
        <f>IF(A69="","",IF(OR(COUNTIF($A$8:$A$207,A69)&lt;&gt;1,COUNTIF('用胶项目'!$A$8:$A$207,B69)&lt;&gt;1,AND(D69&lt;&gt;"",COUNTIF('联系人'!$A$8:$A$207,D69)&lt;&gt;1),AND(M69&lt;&gt;"",COUNTIF('联系人'!$A$8:$A$207,M69)&lt;&gt;1),AND(T69&lt;&gt;"",COUNTIF('跟进待办'!$A$8:$A$207,T69)&lt;&gt;1),AND(U69&lt;&gt;"",COUNTIF('沟通记录'!$A$8:$A$207,U69)&lt;&gt;1)),"检查编号或关联","正常"))</f>
        <v/>
      </c>
    </row>
    <row r="70" ht="34" customHeight="1">
      <c r="A70" s="32" t="n"/>
      <c r="B70" s="32" t="n"/>
      <c r="C70" s="34">
        <f>IF(B70="","",IF(COUNTIF('用胶项目'!$A$8:$A$207,B70)&lt;&gt;1,"编号缺失或重复",INDEX('用胶项目'!$B$8:$B$207,MATCH(B70,'用胶项目'!$A$8:$A$207,0))))</f>
        <v/>
      </c>
      <c r="D70" s="32" t="n"/>
      <c r="E70" s="10" t="n"/>
      <c r="F70" s="38" t="n"/>
      <c r="G70" s="10" t="n"/>
      <c r="H70" s="10" t="n"/>
      <c r="I70" s="10" t="n"/>
      <c r="J70" s="33" t="n"/>
      <c r="K70" s="32" t="n"/>
      <c r="L70" s="33" t="n"/>
      <c r="M70" s="32" t="n"/>
      <c r="N70" s="33" t="n"/>
      <c r="O70" s="10" t="n"/>
      <c r="P70" s="10" t="n"/>
      <c r="Q70" s="10" t="n"/>
      <c r="R70" s="10" t="n"/>
      <c r="S70" s="10" t="n"/>
      <c r="T70" s="32" t="n"/>
      <c r="U70" s="32" t="n"/>
      <c r="V70" s="16">
        <f>IF(A70="","",IF(OR(COUNTIF($A$8:$A$207,A70)&lt;&gt;1,COUNTIF('用胶项目'!$A$8:$A$207,B70)&lt;&gt;1,AND(D70&lt;&gt;"",COUNTIF('联系人'!$A$8:$A$207,D70)&lt;&gt;1),AND(M70&lt;&gt;"",COUNTIF('联系人'!$A$8:$A$207,M70)&lt;&gt;1),AND(T70&lt;&gt;"",COUNTIF('跟进待办'!$A$8:$A$207,T70)&lt;&gt;1),AND(U70&lt;&gt;"",COUNTIF('沟通记录'!$A$8:$A$207,U70)&lt;&gt;1)),"检查编号或关联","正常"))</f>
        <v/>
      </c>
    </row>
    <row r="71" ht="34" customHeight="1">
      <c r="A71" s="32" t="n"/>
      <c r="B71" s="32" t="n"/>
      <c r="C71" s="34">
        <f>IF(B71="","",IF(COUNTIF('用胶项目'!$A$8:$A$207,B71)&lt;&gt;1,"编号缺失或重复",INDEX('用胶项目'!$B$8:$B$207,MATCH(B71,'用胶项目'!$A$8:$A$207,0))))</f>
        <v/>
      </c>
      <c r="D71" s="32" t="n"/>
      <c r="E71" s="10" t="n"/>
      <c r="F71" s="38" t="n"/>
      <c r="G71" s="10" t="n"/>
      <c r="H71" s="10" t="n"/>
      <c r="I71" s="10" t="n"/>
      <c r="J71" s="33" t="n"/>
      <c r="K71" s="32" t="n"/>
      <c r="L71" s="33" t="n"/>
      <c r="M71" s="32" t="n"/>
      <c r="N71" s="33" t="n"/>
      <c r="O71" s="10" t="n"/>
      <c r="P71" s="10" t="n"/>
      <c r="Q71" s="10" t="n"/>
      <c r="R71" s="10" t="n"/>
      <c r="S71" s="10" t="n"/>
      <c r="T71" s="32" t="n"/>
      <c r="U71" s="32" t="n"/>
      <c r="V71" s="16">
        <f>IF(A71="","",IF(OR(COUNTIF($A$8:$A$207,A71)&lt;&gt;1,COUNTIF('用胶项目'!$A$8:$A$207,B71)&lt;&gt;1,AND(D71&lt;&gt;"",COUNTIF('联系人'!$A$8:$A$207,D71)&lt;&gt;1),AND(M71&lt;&gt;"",COUNTIF('联系人'!$A$8:$A$207,M71)&lt;&gt;1),AND(T71&lt;&gt;"",COUNTIF('跟进待办'!$A$8:$A$207,T71)&lt;&gt;1),AND(U71&lt;&gt;"",COUNTIF('沟通记录'!$A$8:$A$207,U71)&lt;&gt;1)),"检查编号或关联","正常"))</f>
        <v/>
      </c>
    </row>
    <row r="72" ht="34" customHeight="1">
      <c r="A72" s="32" t="n"/>
      <c r="B72" s="32" t="n"/>
      <c r="C72" s="34">
        <f>IF(B72="","",IF(COUNTIF('用胶项目'!$A$8:$A$207,B72)&lt;&gt;1,"编号缺失或重复",INDEX('用胶项目'!$B$8:$B$207,MATCH(B72,'用胶项目'!$A$8:$A$207,0))))</f>
        <v/>
      </c>
      <c r="D72" s="32" t="n"/>
      <c r="E72" s="10" t="n"/>
      <c r="F72" s="38" t="n"/>
      <c r="G72" s="10" t="n"/>
      <c r="H72" s="10" t="n"/>
      <c r="I72" s="10" t="n"/>
      <c r="J72" s="33" t="n"/>
      <c r="K72" s="32" t="n"/>
      <c r="L72" s="33" t="n"/>
      <c r="M72" s="32" t="n"/>
      <c r="N72" s="33" t="n"/>
      <c r="O72" s="10" t="n"/>
      <c r="P72" s="10" t="n"/>
      <c r="Q72" s="10" t="n"/>
      <c r="R72" s="10" t="n"/>
      <c r="S72" s="10" t="n"/>
      <c r="T72" s="32" t="n"/>
      <c r="U72" s="32" t="n"/>
      <c r="V72" s="16">
        <f>IF(A72="","",IF(OR(COUNTIF($A$8:$A$207,A72)&lt;&gt;1,COUNTIF('用胶项目'!$A$8:$A$207,B72)&lt;&gt;1,AND(D72&lt;&gt;"",COUNTIF('联系人'!$A$8:$A$207,D72)&lt;&gt;1),AND(M72&lt;&gt;"",COUNTIF('联系人'!$A$8:$A$207,M72)&lt;&gt;1),AND(T72&lt;&gt;"",COUNTIF('跟进待办'!$A$8:$A$207,T72)&lt;&gt;1),AND(U72&lt;&gt;"",COUNTIF('沟通记录'!$A$8:$A$207,U72)&lt;&gt;1)),"检查编号或关联","正常"))</f>
        <v/>
      </c>
    </row>
    <row r="73" ht="34" customHeight="1">
      <c r="A73" s="32" t="n"/>
      <c r="B73" s="32" t="n"/>
      <c r="C73" s="34">
        <f>IF(B73="","",IF(COUNTIF('用胶项目'!$A$8:$A$207,B73)&lt;&gt;1,"编号缺失或重复",INDEX('用胶项目'!$B$8:$B$207,MATCH(B73,'用胶项目'!$A$8:$A$207,0))))</f>
        <v/>
      </c>
      <c r="D73" s="32" t="n"/>
      <c r="E73" s="10" t="n"/>
      <c r="F73" s="38" t="n"/>
      <c r="G73" s="10" t="n"/>
      <c r="H73" s="10" t="n"/>
      <c r="I73" s="10" t="n"/>
      <c r="J73" s="33" t="n"/>
      <c r="K73" s="32" t="n"/>
      <c r="L73" s="33" t="n"/>
      <c r="M73" s="32" t="n"/>
      <c r="N73" s="33" t="n"/>
      <c r="O73" s="10" t="n"/>
      <c r="P73" s="10" t="n"/>
      <c r="Q73" s="10" t="n"/>
      <c r="R73" s="10" t="n"/>
      <c r="S73" s="10" t="n"/>
      <c r="T73" s="32" t="n"/>
      <c r="U73" s="32" t="n"/>
      <c r="V73" s="16">
        <f>IF(A73="","",IF(OR(COUNTIF($A$8:$A$207,A73)&lt;&gt;1,COUNTIF('用胶项目'!$A$8:$A$207,B73)&lt;&gt;1,AND(D73&lt;&gt;"",COUNTIF('联系人'!$A$8:$A$207,D73)&lt;&gt;1),AND(M73&lt;&gt;"",COUNTIF('联系人'!$A$8:$A$207,M73)&lt;&gt;1),AND(T73&lt;&gt;"",COUNTIF('跟进待办'!$A$8:$A$207,T73)&lt;&gt;1),AND(U73&lt;&gt;"",COUNTIF('沟通记录'!$A$8:$A$207,U73)&lt;&gt;1)),"检查编号或关联","正常"))</f>
        <v/>
      </c>
    </row>
    <row r="74" ht="34" customHeight="1">
      <c r="A74" s="32" t="n"/>
      <c r="B74" s="32" t="n"/>
      <c r="C74" s="34">
        <f>IF(B74="","",IF(COUNTIF('用胶项目'!$A$8:$A$207,B74)&lt;&gt;1,"编号缺失或重复",INDEX('用胶项目'!$B$8:$B$207,MATCH(B74,'用胶项目'!$A$8:$A$207,0))))</f>
        <v/>
      </c>
      <c r="D74" s="32" t="n"/>
      <c r="E74" s="10" t="n"/>
      <c r="F74" s="38" t="n"/>
      <c r="G74" s="10" t="n"/>
      <c r="H74" s="10" t="n"/>
      <c r="I74" s="10" t="n"/>
      <c r="J74" s="33" t="n"/>
      <c r="K74" s="32" t="n"/>
      <c r="L74" s="33" t="n"/>
      <c r="M74" s="32" t="n"/>
      <c r="N74" s="33" t="n"/>
      <c r="O74" s="10" t="n"/>
      <c r="P74" s="10" t="n"/>
      <c r="Q74" s="10" t="n"/>
      <c r="R74" s="10" t="n"/>
      <c r="S74" s="10" t="n"/>
      <c r="T74" s="32" t="n"/>
      <c r="U74" s="32" t="n"/>
      <c r="V74" s="16">
        <f>IF(A74="","",IF(OR(COUNTIF($A$8:$A$207,A74)&lt;&gt;1,COUNTIF('用胶项目'!$A$8:$A$207,B74)&lt;&gt;1,AND(D74&lt;&gt;"",COUNTIF('联系人'!$A$8:$A$207,D74)&lt;&gt;1),AND(M74&lt;&gt;"",COUNTIF('联系人'!$A$8:$A$207,M74)&lt;&gt;1),AND(T74&lt;&gt;"",COUNTIF('跟进待办'!$A$8:$A$207,T74)&lt;&gt;1),AND(U74&lt;&gt;"",COUNTIF('沟通记录'!$A$8:$A$207,U74)&lt;&gt;1)),"检查编号或关联","正常"))</f>
        <v/>
      </c>
    </row>
    <row r="75" ht="34" customHeight="1">
      <c r="A75" s="32" t="n"/>
      <c r="B75" s="32" t="n"/>
      <c r="C75" s="34">
        <f>IF(B75="","",IF(COUNTIF('用胶项目'!$A$8:$A$207,B75)&lt;&gt;1,"编号缺失或重复",INDEX('用胶项目'!$B$8:$B$207,MATCH(B75,'用胶项目'!$A$8:$A$207,0))))</f>
        <v/>
      </c>
      <c r="D75" s="32" t="n"/>
      <c r="E75" s="10" t="n"/>
      <c r="F75" s="38" t="n"/>
      <c r="G75" s="10" t="n"/>
      <c r="H75" s="10" t="n"/>
      <c r="I75" s="10" t="n"/>
      <c r="J75" s="33" t="n"/>
      <c r="K75" s="32" t="n"/>
      <c r="L75" s="33" t="n"/>
      <c r="M75" s="32" t="n"/>
      <c r="N75" s="33" t="n"/>
      <c r="O75" s="10" t="n"/>
      <c r="P75" s="10" t="n"/>
      <c r="Q75" s="10" t="n"/>
      <c r="R75" s="10" t="n"/>
      <c r="S75" s="10" t="n"/>
      <c r="T75" s="32" t="n"/>
      <c r="U75" s="32" t="n"/>
      <c r="V75" s="16">
        <f>IF(A75="","",IF(OR(COUNTIF($A$8:$A$207,A75)&lt;&gt;1,COUNTIF('用胶项目'!$A$8:$A$207,B75)&lt;&gt;1,AND(D75&lt;&gt;"",COUNTIF('联系人'!$A$8:$A$207,D75)&lt;&gt;1),AND(M75&lt;&gt;"",COUNTIF('联系人'!$A$8:$A$207,M75)&lt;&gt;1),AND(T75&lt;&gt;"",COUNTIF('跟进待办'!$A$8:$A$207,T75)&lt;&gt;1),AND(U75&lt;&gt;"",COUNTIF('沟通记录'!$A$8:$A$207,U75)&lt;&gt;1)),"检查编号或关联","正常"))</f>
        <v/>
      </c>
    </row>
    <row r="76" ht="34" customHeight="1">
      <c r="A76" s="32" t="n"/>
      <c r="B76" s="32" t="n"/>
      <c r="C76" s="34">
        <f>IF(B76="","",IF(COUNTIF('用胶项目'!$A$8:$A$207,B76)&lt;&gt;1,"编号缺失或重复",INDEX('用胶项目'!$B$8:$B$207,MATCH(B76,'用胶项目'!$A$8:$A$207,0))))</f>
        <v/>
      </c>
      <c r="D76" s="32" t="n"/>
      <c r="E76" s="10" t="n"/>
      <c r="F76" s="38" t="n"/>
      <c r="G76" s="10" t="n"/>
      <c r="H76" s="10" t="n"/>
      <c r="I76" s="10" t="n"/>
      <c r="J76" s="33" t="n"/>
      <c r="K76" s="32" t="n"/>
      <c r="L76" s="33" t="n"/>
      <c r="M76" s="32" t="n"/>
      <c r="N76" s="33" t="n"/>
      <c r="O76" s="10" t="n"/>
      <c r="P76" s="10" t="n"/>
      <c r="Q76" s="10" t="n"/>
      <c r="R76" s="10" t="n"/>
      <c r="S76" s="10" t="n"/>
      <c r="T76" s="32" t="n"/>
      <c r="U76" s="32" t="n"/>
      <c r="V76" s="16">
        <f>IF(A76="","",IF(OR(COUNTIF($A$8:$A$207,A76)&lt;&gt;1,COUNTIF('用胶项目'!$A$8:$A$207,B76)&lt;&gt;1,AND(D76&lt;&gt;"",COUNTIF('联系人'!$A$8:$A$207,D76)&lt;&gt;1),AND(M76&lt;&gt;"",COUNTIF('联系人'!$A$8:$A$207,M76)&lt;&gt;1),AND(T76&lt;&gt;"",COUNTIF('跟进待办'!$A$8:$A$207,T76)&lt;&gt;1),AND(U76&lt;&gt;"",COUNTIF('沟通记录'!$A$8:$A$207,U76)&lt;&gt;1)),"检查编号或关联","正常"))</f>
        <v/>
      </c>
    </row>
    <row r="77" ht="34" customHeight="1">
      <c r="A77" s="32" t="n"/>
      <c r="B77" s="32" t="n"/>
      <c r="C77" s="34">
        <f>IF(B77="","",IF(COUNTIF('用胶项目'!$A$8:$A$207,B77)&lt;&gt;1,"编号缺失或重复",INDEX('用胶项目'!$B$8:$B$207,MATCH(B77,'用胶项目'!$A$8:$A$207,0))))</f>
        <v/>
      </c>
      <c r="D77" s="32" t="n"/>
      <c r="E77" s="10" t="n"/>
      <c r="F77" s="38" t="n"/>
      <c r="G77" s="10" t="n"/>
      <c r="H77" s="10" t="n"/>
      <c r="I77" s="10" t="n"/>
      <c r="J77" s="33" t="n"/>
      <c r="K77" s="32" t="n"/>
      <c r="L77" s="33" t="n"/>
      <c r="M77" s="32" t="n"/>
      <c r="N77" s="33" t="n"/>
      <c r="O77" s="10" t="n"/>
      <c r="P77" s="10" t="n"/>
      <c r="Q77" s="10" t="n"/>
      <c r="R77" s="10" t="n"/>
      <c r="S77" s="10" t="n"/>
      <c r="T77" s="32" t="n"/>
      <c r="U77" s="32" t="n"/>
      <c r="V77" s="16">
        <f>IF(A77="","",IF(OR(COUNTIF($A$8:$A$207,A77)&lt;&gt;1,COUNTIF('用胶项目'!$A$8:$A$207,B77)&lt;&gt;1,AND(D77&lt;&gt;"",COUNTIF('联系人'!$A$8:$A$207,D77)&lt;&gt;1),AND(M77&lt;&gt;"",COUNTIF('联系人'!$A$8:$A$207,M77)&lt;&gt;1),AND(T77&lt;&gt;"",COUNTIF('跟进待办'!$A$8:$A$207,T77)&lt;&gt;1),AND(U77&lt;&gt;"",COUNTIF('沟通记录'!$A$8:$A$207,U77)&lt;&gt;1)),"检查编号或关联","正常"))</f>
        <v/>
      </c>
    </row>
    <row r="78" ht="34" customHeight="1">
      <c r="A78" s="32" t="n"/>
      <c r="B78" s="32" t="n"/>
      <c r="C78" s="34">
        <f>IF(B78="","",IF(COUNTIF('用胶项目'!$A$8:$A$207,B78)&lt;&gt;1,"编号缺失或重复",INDEX('用胶项目'!$B$8:$B$207,MATCH(B78,'用胶项目'!$A$8:$A$207,0))))</f>
        <v/>
      </c>
      <c r="D78" s="32" t="n"/>
      <c r="E78" s="10" t="n"/>
      <c r="F78" s="38" t="n"/>
      <c r="G78" s="10" t="n"/>
      <c r="H78" s="10" t="n"/>
      <c r="I78" s="10" t="n"/>
      <c r="J78" s="33" t="n"/>
      <c r="K78" s="32" t="n"/>
      <c r="L78" s="33" t="n"/>
      <c r="M78" s="32" t="n"/>
      <c r="N78" s="33" t="n"/>
      <c r="O78" s="10" t="n"/>
      <c r="P78" s="10" t="n"/>
      <c r="Q78" s="10" t="n"/>
      <c r="R78" s="10" t="n"/>
      <c r="S78" s="10" t="n"/>
      <c r="T78" s="32" t="n"/>
      <c r="U78" s="32" t="n"/>
      <c r="V78" s="16">
        <f>IF(A78="","",IF(OR(COUNTIF($A$8:$A$207,A78)&lt;&gt;1,COUNTIF('用胶项目'!$A$8:$A$207,B78)&lt;&gt;1,AND(D78&lt;&gt;"",COUNTIF('联系人'!$A$8:$A$207,D78)&lt;&gt;1),AND(M78&lt;&gt;"",COUNTIF('联系人'!$A$8:$A$207,M78)&lt;&gt;1),AND(T78&lt;&gt;"",COUNTIF('跟进待办'!$A$8:$A$207,T78)&lt;&gt;1),AND(U78&lt;&gt;"",COUNTIF('沟通记录'!$A$8:$A$207,U78)&lt;&gt;1)),"检查编号或关联","正常"))</f>
        <v/>
      </c>
    </row>
    <row r="79" ht="34" customHeight="1">
      <c r="A79" s="32" t="n"/>
      <c r="B79" s="32" t="n"/>
      <c r="C79" s="34">
        <f>IF(B79="","",IF(COUNTIF('用胶项目'!$A$8:$A$207,B79)&lt;&gt;1,"编号缺失或重复",INDEX('用胶项目'!$B$8:$B$207,MATCH(B79,'用胶项目'!$A$8:$A$207,0))))</f>
        <v/>
      </c>
      <c r="D79" s="32" t="n"/>
      <c r="E79" s="10" t="n"/>
      <c r="F79" s="38" t="n"/>
      <c r="G79" s="10" t="n"/>
      <c r="H79" s="10" t="n"/>
      <c r="I79" s="10" t="n"/>
      <c r="J79" s="33" t="n"/>
      <c r="K79" s="32" t="n"/>
      <c r="L79" s="33" t="n"/>
      <c r="M79" s="32" t="n"/>
      <c r="N79" s="33" t="n"/>
      <c r="O79" s="10" t="n"/>
      <c r="P79" s="10" t="n"/>
      <c r="Q79" s="10" t="n"/>
      <c r="R79" s="10" t="n"/>
      <c r="S79" s="10" t="n"/>
      <c r="T79" s="32" t="n"/>
      <c r="U79" s="32" t="n"/>
      <c r="V79" s="16">
        <f>IF(A79="","",IF(OR(COUNTIF($A$8:$A$207,A79)&lt;&gt;1,COUNTIF('用胶项目'!$A$8:$A$207,B79)&lt;&gt;1,AND(D79&lt;&gt;"",COUNTIF('联系人'!$A$8:$A$207,D79)&lt;&gt;1),AND(M79&lt;&gt;"",COUNTIF('联系人'!$A$8:$A$207,M79)&lt;&gt;1),AND(T79&lt;&gt;"",COUNTIF('跟进待办'!$A$8:$A$207,T79)&lt;&gt;1),AND(U79&lt;&gt;"",COUNTIF('沟通记录'!$A$8:$A$207,U79)&lt;&gt;1)),"检查编号或关联","正常"))</f>
        <v/>
      </c>
    </row>
    <row r="80" ht="34" customHeight="1">
      <c r="A80" s="32" t="n"/>
      <c r="B80" s="32" t="n"/>
      <c r="C80" s="34">
        <f>IF(B80="","",IF(COUNTIF('用胶项目'!$A$8:$A$207,B80)&lt;&gt;1,"编号缺失或重复",INDEX('用胶项目'!$B$8:$B$207,MATCH(B80,'用胶项目'!$A$8:$A$207,0))))</f>
        <v/>
      </c>
      <c r="D80" s="32" t="n"/>
      <c r="E80" s="10" t="n"/>
      <c r="F80" s="38" t="n"/>
      <c r="G80" s="10" t="n"/>
      <c r="H80" s="10" t="n"/>
      <c r="I80" s="10" t="n"/>
      <c r="J80" s="33" t="n"/>
      <c r="K80" s="32" t="n"/>
      <c r="L80" s="33" t="n"/>
      <c r="M80" s="32" t="n"/>
      <c r="N80" s="33" t="n"/>
      <c r="O80" s="10" t="n"/>
      <c r="P80" s="10" t="n"/>
      <c r="Q80" s="10" t="n"/>
      <c r="R80" s="10" t="n"/>
      <c r="S80" s="10" t="n"/>
      <c r="T80" s="32" t="n"/>
      <c r="U80" s="32" t="n"/>
      <c r="V80" s="16">
        <f>IF(A80="","",IF(OR(COUNTIF($A$8:$A$207,A80)&lt;&gt;1,COUNTIF('用胶项目'!$A$8:$A$207,B80)&lt;&gt;1,AND(D80&lt;&gt;"",COUNTIF('联系人'!$A$8:$A$207,D80)&lt;&gt;1),AND(M80&lt;&gt;"",COUNTIF('联系人'!$A$8:$A$207,M80)&lt;&gt;1),AND(T80&lt;&gt;"",COUNTIF('跟进待办'!$A$8:$A$207,T80)&lt;&gt;1),AND(U80&lt;&gt;"",COUNTIF('沟通记录'!$A$8:$A$207,U80)&lt;&gt;1)),"检查编号或关联","正常"))</f>
        <v/>
      </c>
    </row>
    <row r="81" ht="34" customHeight="1">
      <c r="A81" s="32" t="n"/>
      <c r="B81" s="32" t="n"/>
      <c r="C81" s="34">
        <f>IF(B81="","",IF(COUNTIF('用胶项目'!$A$8:$A$207,B81)&lt;&gt;1,"编号缺失或重复",INDEX('用胶项目'!$B$8:$B$207,MATCH(B81,'用胶项目'!$A$8:$A$207,0))))</f>
        <v/>
      </c>
      <c r="D81" s="32" t="n"/>
      <c r="E81" s="10" t="n"/>
      <c r="F81" s="38" t="n"/>
      <c r="G81" s="10" t="n"/>
      <c r="H81" s="10" t="n"/>
      <c r="I81" s="10" t="n"/>
      <c r="J81" s="33" t="n"/>
      <c r="K81" s="32" t="n"/>
      <c r="L81" s="33" t="n"/>
      <c r="M81" s="32" t="n"/>
      <c r="N81" s="33" t="n"/>
      <c r="O81" s="10" t="n"/>
      <c r="P81" s="10" t="n"/>
      <c r="Q81" s="10" t="n"/>
      <c r="R81" s="10" t="n"/>
      <c r="S81" s="10" t="n"/>
      <c r="T81" s="32" t="n"/>
      <c r="U81" s="32" t="n"/>
      <c r="V81" s="16">
        <f>IF(A81="","",IF(OR(COUNTIF($A$8:$A$207,A81)&lt;&gt;1,COUNTIF('用胶项目'!$A$8:$A$207,B81)&lt;&gt;1,AND(D81&lt;&gt;"",COUNTIF('联系人'!$A$8:$A$207,D81)&lt;&gt;1),AND(M81&lt;&gt;"",COUNTIF('联系人'!$A$8:$A$207,M81)&lt;&gt;1),AND(T81&lt;&gt;"",COUNTIF('跟进待办'!$A$8:$A$207,T81)&lt;&gt;1),AND(U81&lt;&gt;"",COUNTIF('沟通记录'!$A$8:$A$207,U81)&lt;&gt;1)),"检查编号或关联","正常"))</f>
        <v/>
      </c>
    </row>
    <row r="82" ht="34" customHeight="1">
      <c r="A82" s="32" t="n"/>
      <c r="B82" s="32" t="n"/>
      <c r="C82" s="34">
        <f>IF(B82="","",IF(COUNTIF('用胶项目'!$A$8:$A$207,B82)&lt;&gt;1,"编号缺失或重复",INDEX('用胶项目'!$B$8:$B$207,MATCH(B82,'用胶项目'!$A$8:$A$207,0))))</f>
        <v/>
      </c>
      <c r="D82" s="32" t="n"/>
      <c r="E82" s="10" t="n"/>
      <c r="F82" s="38" t="n"/>
      <c r="G82" s="10" t="n"/>
      <c r="H82" s="10" t="n"/>
      <c r="I82" s="10" t="n"/>
      <c r="J82" s="33" t="n"/>
      <c r="K82" s="32" t="n"/>
      <c r="L82" s="33" t="n"/>
      <c r="M82" s="32" t="n"/>
      <c r="N82" s="33" t="n"/>
      <c r="O82" s="10" t="n"/>
      <c r="P82" s="10" t="n"/>
      <c r="Q82" s="10" t="n"/>
      <c r="R82" s="10" t="n"/>
      <c r="S82" s="10" t="n"/>
      <c r="T82" s="32" t="n"/>
      <c r="U82" s="32" t="n"/>
      <c r="V82" s="16">
        <f>IF(A82="","",IF(OR(COUNTIF($A$8:$A$207,A82)&lt;&gt;1,COUNTIF('用胶项目'!$A$8:$A$207,B82)&lt;&gt;1,AND(D82&lt;&gt;"",COUNTIF('联系人'!$A$8:$A$207,D82)&lt;&gt;1),AND(M82&lt;&gt;"",COUNTIF('联系人'!$A$8:$A$207,M82)&lt;&gt;1),AND(T82&lt;&gt;"",COUNTIF('跟进待办'!$A$8:$A$207,T82)&lt;&gt;1),AND(U82&lt;&gt;"",COUNTIF('沟通记录'!$A$8:$A$207,U82)&lt;&gt;1)),"检查编号或关联","正常"))</f>
        <v/>
      </c>
    </row>
    <row r="83" ht="34" customHeight="1">
      <c r="A83" s="32" t="n"/>
      <c r="B83" s="32" t="n"/>
      <c r="C83" s="34">
        <f>IF(B83="","",IF(COUNTIF('用胶项目'!$A$8:$A$207,B83)&lt;&gt;1,"编号缺失或重复",INDEX('用胶项目'!$B$8:$B$207,MATCH(B83,'用胶项目'!$A$8:$A$207,0))))</f>
        <v/>
      </c>
      <c r="D83" s="32" t="n"/>
      <c r="E83" s="10" t="n"/>
      <c r="F83" s="38" t="n"/>
      <c r="G83" s="10" t="n"/>
      <c r="H83" s="10" t="n"/>
      <c r="I83" s="10" t="n"/>
      <c r="J83" s="33" t="n"/>
      <c r="K83" s="32" t="n"/>
      <c r="L83" s="33" t="n"/>
      <c r="M83" s="32" t="n"/>
      <c r="N83" s="33" t="n"/>
      <c r="O83" s="10" t="n"/>
      <c r="P83" s="10" t="n"/>
      <c r="Q83" s="10" t="n"/>
      <c r="R83" s="10" t="n"/>
      <c r="S83" s="10" t="n"/>
      <c r="T83" s="32" t="n"/>
      <c r="U83" s="32" t="n"/>
      <c r="V83" s="16">
        <f>IF(A83="","",IF(OR(COUNTIF($A$8:$A$207,A83)&lt;&gt;1,COUNTIF('用胶项目'!$A$8:$A$207,B83)&lt;&gt;1,AND(D83&lt;&gt;"",COUNTIF('联系人'!$A$8:$A$207,D83)&lt;&gt;1),AND(M83&lt;&gt;"",COUNTIF('联系人'!$A$8:$A$207,M83)&lt;&gt;1),AND(T83&lt;&gt;"",COUNTIF('跟进待办'!$A$8:$A$207,T83)&lt;&gt;1),AND(U83&lt;&gt;"",COUNTIF('沟通记录'!$A$8:$A$207,U83)&lt;&gt;1)),"检查编号或关联","正常"))</f>
        <v/>
      </c>
    </row>
    <row r="84" ht="34" customHeight="1">
      <c r="A84" s="32" t="n"/>
      <c r="B84" s="32" t="n"/>
      <c r="C84" s="34">
        <f>IF(B84="","",IF(COUNTIF('用胶项目'!$A$8:$A$207,B84)&lt;&gt;1,"编号缺失或重复",INDEX('用胶项目'!$B$8:$B$207,MATCH(B84,'用胶项目'!$A$8:$A$207,0))))</f>
        <v/>
      </c>
      <c r="D84" s="32" t="n"/>
      <c r="E84" s="10" t="n"/>
      <c r="F84" s="38" t="n"/>
      <c r="G84" s="10" t="n"/>
      <c r="H84" s="10" t="n"/>
      <c r="I84" s="10" t="n"/>
      <c r="J84" s="33" t="n"/>
      <c r="K84" s="32" t="n"/>
      <c r="L84" s="33" t="n"/>
      <c r="M84" s="32" t="n"/>
      <c r="N84" s="33" t="n"/>
      <c r="O84" s="10" t="n"/>
      <c r="P84" s="10" t="n"/>
      <c r="Q84" s="10" t="n"/>
      <c r="R84" s="10" t="n"/>
      <c r="S84" s="10" t="n"/>
      <c r="T84" s="32" t="n"/>
      <c r="U84" s="32" t="n"/>
      <c r="V84" s="16">
        <f>IF(A84="","",IF(OR(COUNTIF($A$8:$A$207,A84)&lt;&gt;1,COUNTIF('用胶项目'!$A$8:$A$207,B84)&lt;&gt;1,AND(D84&lt;&gt;"",COUNTIF('联系人'!$A$8:$A$207,D84)&lt;&gt;1),AND(M84&lt;&gt;"",COUNTIF('联系人'!$A$8:$A$207,M84)&lt;&gt;1),AND(T84&lt;&gt;"",COUNTIF('跟进待办'!$A$8:$A$207,T84)&lt;&gt;1),AND(U84&lt;&gt;"",COUNTIF('沟通记录'!$A$8:$A$207,U84)&lt;&gt;1)),"检查编号或关联","正常"))</f>
        <v/>
      </c>
    </row>
    <row r="85" ht="34" customHeight="1">
      <c r="A85" s="32" t="n"/>
      <c r="B85" s="32" t="n"/>
      <c r="C85" s="34">
        <f>IF(B85="","",IF(COUNTIF('用胶项目'!$A$8:$A$207,B85)&lt;&gt;1,"编号缺失或重复",INDEX('用胶项目'!$B$8:$B$207,MATCH(B85,'用胶项目'!$A$8:$A$207,0))))</f>
        <v/>
      </c>
      <c r="D85" s="32" t="n"/>
      <c r="E85" s="10" t="n"/>
      <c r="F85" s="38" t="n"/>
      <c r="G85" s="10" t="n"/>
      <c r="H85" s="10" t="n"/>
      <c r="I85" s="10" t="n"/>
      <c r="J85" s="33" t="n"/>
      <c r="K85" s="32" t="n"/>
      <c r="L85" s="33" t="n"/>
      <c r="M85" s="32" t="n"/>
      <c r="N85" s="33" t="n"/>
      <c r="O85" s="10" t="n"/>
      <c r="P85" s="10" t="n"/>
      <c r="Q85" s="10" t="n"/>
      <c r="R85" s="10" t="n"/>
      <c r="S85" s="10" t="n"/>
      <c r="T85" s="32" t="n"/>
      <c r="U85" s="32" t="n"/>
      <c r="V85" s="16">
        <f>IF(A85="","",IF(OR(COUNTIF($A$8:$A$207,A85)&lt;&gt;1,COUNTIF('用胶项目'!$A$8:$A$207,B85)&lt;&gt;1,AND(D85&lt;&gt;"",COUNTIF('联系人'!$A$8:$A$207,D85)&lt;&gt;1),AND(M85&lt;&gt;"",COUNTIF('联系人'!$A$8:$A$207,M85)&lt;&gt;1),AND(T85&lt;&gt;"",COUNTIF('跟进待办'!$A$8:$A$207,T85)&lt;&gt;1),AND(U85&lt;&gt;"",COUNTIF('沟通记录'!$A$8:$A$207,U85)&lt;&gt;1)),"检查编号或关联","正常"))</f>
        <v/>
      </c>
    </row>
    <row r="86" ht="34" customHeight="1">
      <c r="A86" s="32" t="n"/>
      <c r="B86" s="32" t="n"/>
      <c r="C86" s="34">
        <f>IF(B86="","",IF(COUNTIF('用胶项目'!$A$8:$A$207,B86)&lt;&gt;1,"编号缺失或重复",INDEX('用胶项目'!$B$8:$B$207,MATCH(B86,'用胶项目'!$A$8:$A$207,0))))</f>
        <v/>
      </c>
      <c r="D86" s="32" t="n"/>
      <c r="E86" s="10" t="n"/>
      <c r="F86" s="38" t="n"/>
      <c r="G86" s="10" t="n"/>
      <c r="H86" s="10" t="n"/>
      <c r="I86" s="10" t="n"/>
      <c r="J86" s="33" t="n"/>
      <c r="K86" s="32" t="n"/>
      <c r="L86" s="33" t="n"/>
      <c r="M86" s="32" t="n"/>
      <c r="N86" s="33" t="n"/>
      <c r="O86" s="10" t="n"/>
      <c r="P86" s="10" t="n"/>
      <c r="Q86" s="10" t="n"/>
      <c r="R86" s="10" t="n"/>
      <c r="S86" s="10" t="n"/>
      <c r="T86" s="32" t="n"/>
      <c r="U86" s="32" t="n"/>
      <c r="V86" s="16">
        <f>IF(A86="","",IF(OR(COUNTIF($A$8:$A$207,A86)&lt;&gt;1,COUNTIF('用胶项目'!$A$8:$A$207,B86)&lt;&gt;1,AND(D86&lt;&gt;"",COUNTIF('联系人'!$A$8:$A$207,D86)&lt;&gt;1),AND(M86&lt;&gt;"",COUNTIF('联系人'!$A$8:$A$207,M86)&lt;&gt;1),AND(T86&lt;&gt;"",COUNTIF('跟进待办'!$A$8:$A$207,T86)&lt;&gt;1),AND(U86&lt;&gt;"",COUNTIF('沟通记录'!$A$8:$A$207,U86)&lt;&gt;1)),"检查编号或关联","正常"))</f>
        <v/>
      </c>
    </row>
    <row r="87" ht="34" customHeight="1">
      <c r="A87" s="32" t="n"/>
      <c r="B87" s="32" t="n"/>
      <c r="C87" s="34">
        <f>IF(B87="","",IF(COUNTIF('用胶项目'!$A$8:$A$207,B87)&lt;&gt;1,"编号缺失或重复",INDEX('用胶项目'!$B$8:$B$207,MATCH(B87,'用胶项目'!$A$8:$A$207,0))))</f>
        <v/>
      </c>
      <c r="D87" s="32" t="n"/>
      <c r="E87" s="10" t="n"/>
      <c r="F87" s="38" t="n"/>
      <c r="G87" s="10" t="n"/>
      <c r="H87" s="10" t="n"/>
      <c r="I87" s="10" t="n"/>
      <c r="J87" s="33" t="n"/>
      <c r="K87" s="32" t="n"/>
      <c r="L87" s="33" t="n"/>
      <c r="M87" s="32" t="n"/>
      <c r="N87" s="33" t="n"/>
      <c r="O87" s="10" t="n"/>
      <c r="P87" s="10" t="n"/>
      <c r="Q87" s="10" t="n"/>
      <c r="R87" s="10" t="n"/>
      <c r="S87" s="10" t="n"/>
      <c r="T87" s="32" t="n"/>
      <c r="U87" s="32" t="n"/>
      <c r="V87" s="16">
        <f>IF(A87="","",IF(OR(COUNTIF($A$8:$A$207,A87)&lt;&gt;1,COUNTIF('用胶项目'!$A$8:$A$207,B87)&lt;&gt;1,AND(D87&lt;&gt;"",COUNTIF('联系人'!$A$8:$A$207,D87)&lt;&gt;1),AND(M87&lt;&gt;"",COUNTIF('联系人'!$A$8:$A$207,M87)&lt;&gt;1),AND(T87&lt;&gt;"",COUNTIF('跟进待办'!$A$8:$A$207,T87)&lt;&gt;1),AND(U87&lt;&gt;"",COUNTIF('沟通记录'!$A$8:$A$207,U87)&lt;&gt;1)),"检查编号或关联","正常"))</f>
        <v/>
      </c>
    </row>
    <row r="88" ht="34" customHeight="1">
      <c r="A88" s="32" t="n"/>
      <c r="B88" s="32" t="n"/>
      <c r="C88" s="34">
        <f>IF(B88="","",IF(COUNTIF('用胶项目'!$A$8:$A$207,B88)&lt;&gt;1,"编号缺失或重复",INDEX('用胶项目'!$B$8:$B$207,MATCH(B88,'用胶项目'!$A$8:$A$207,0))))</f>
        <v/>
      </c>
      <c r="D88" s="32" t="n"/>
      <c r="E88" s="10" t="n"/>
      <c r="F88" s="38" t="n"/>
      <c r="G88" s="10" t="n"/>
      <c r="H88" s="10" t="n"/>
      <c r="I88" s="10" t="n"/>
      <c r="J88" s="33" t="n"/>
      <c r="K88" s="32" t="n"/>
      <c r="L88" s="33" t="n"/>
      <c r="M88" s="32" t="n"/>
      <c r="N88" s="33" t="n"/>
      <c r="O88" s="10" t="n"/>
      <c r="P88" s="10" t="n"/>
      <c r="Q88" s="10" t="n"/>
      <c r="R88" s="10" t="n"/>
      <c r="S88" s="10" t="n"/>
      <c r="T88" s="32" t="n"/>
      <c r="U88" s="32" t="n"/>
      <c r="V88" s="16">
        <f>IF(A88="","",IF(OR(COUNTIF($A$8:$A$207,A88)&lt;&gt;1,COUNTIF('用胶项目'!$A$8:$A$207,B88)&lt;&gt;1,AND(D88&lt;&gt;"",COUNTIF('联系人'!$A$8:$A$207,D88)&lt;&gt;1),AND(M88&lt;&gt;"",COUNTIF('联系人'!$A$8:$A$207,M88)&lt;&gt;1),AND(T88&lt;&gt;"",COUNTIF('跟进待办'!$A$8:$A$207,T88)&lt;&gt;1),AND(U88&lt;&gt;"",COUNTIF('沟通记录'!$A$8:$A$207,U88)&lt;&gt;1)),"检查编号或关联","正常"))</f>
        <v/>
      </c>
    </row>
    <row r="89" ht="34" customHeight="1">
      <c r="A89" s="32" t="n"/>
      <c r="B89" s="32" t="n"/>
      <c r="C89" s="34">
        <f>IF(B89="","",IF(COUNTIF('用胶项目'!$A$8:$A$207,B89)&lt;&gt;1,"编号缺失或重复",INDEX('用胶项目'!$B$8:$B$207,MATCH(B89,'用胶项目'!$A$8:$A$207,0))))</f>
        <v/>
      </c>
      <c r="D89" s="32" t="n"/>
      <c r="E89" s="10" t="n"/>
      <c r="F89" s="38" t="n"/>
      <c r="G89" s="10" t="n"/>
      <c r="H89" s="10" t="n"/>
      <c r="I89" s="10" t="n"/>
      <c r="J89" s="33" t="n"/>
      <c r="K89" s="32" t="n"/>
      <c r="L89" s="33" t="n"/>
      <c r="M89" s="32" t="n"/>
      <c r="N89" s="33" t="n"/>
      <c r="O89" s="10" t="n"/>
      <c r="P89" s="10" t="n"/>
      <c r="Q89" s="10" t="n"/>
      <c r="R89" s="10" t="n"/>
      <c r="S89" s="10" t="n"/>
      <c r="T89" s="32" t="n"/>
      <c r="U89" s="32" t="n"/>
      <c r="V89" s="16">
        <f>IF(A89="","",IF(OR(COUNTIF($A$8:$A$207,A89)&lt;&gt;1,COUNTIF('用胶项目'!$A$8:$A$207,B89)&lt;&gt;1,AND(D89&lt;&gt;"",COUNTIF('联系人'!$A$8:$A$207,D89)&lt;&gt;1),AND(M89&lt;&gt;"",COUNTIF('联系人'!$A$8:$A$207,M89)&lt;&gt;1),AND(T89&lt;&gt;"",COUNTIF('跟进待办'!$A$8:$A$207,T89)&lt;&gt;1),AND(U89&lt;&gt;"",COUNTIF('沟通记录'!$A$8:$A$207,U89)&lt;&gt;1)),"检查编号或关联","正常"))</f>
        <v/>
      </c>
    </row>
    <row r="90" ht="34" customHeight="1">
      <c r="A90" s="32" t="n"/>
      <c r="B90" s="32" t="n"/>
      <c r="C90" s="34">
        <f>IF(B90="","",IF(COUNTIF('用胶项目'!$A$8:$A$207,B90)&lt;&gt;1,"编号缺失或重复",INDEX('用胶项目'!$B$8:$B$207,MATCH(B90,'用胶项目'!$A$8:$A$207,0))))</f>
        <v/>
      </c>
      <c r="D90" s="32" t="n"/>
      <c r="E90" s="10" t="n"/>
      <c r="F90" s="38" t="n"/>
      <c r="G90" s="10" t="n"/>
      <c r="H90" s="10" t="n"/>
      <c r="I90" s="10" t="n"/>
      <c r="J90" s="33" t="n"/>
      <c r="K90" s="32" t="n"/>
      <c r="L90" s="33" t="n"/>
      <c r="M90" s="32" t="n"/>
      <c r="N90" s="33" t="n"/>
      <c r="O90" s="10" t="n"/>
      <c r="P90" s="10" t="n"/>
      <c r="Q90" s="10" t="n"/>
      <c r="R90" s="10" t="n"/>
      <c r="S90" s="10" t="n"/>
      <c r="T90" s="32" t="n"/>
      <c r="U90" s="32" t="n"/>
      <c r="V90" s="16">
        <f>IF(A90="","",IF(OR(COUNTIF($A$8:$A$207,A90)&lt;&gt;1,COUNTIF('用胶项目'!$A$8:$A$207,B90)&lt;&gt;1,AND(D90&lt;&gt;"",COUNTIF('联系人'!$A$8:$A$207,D90)&lt;&gt;1),AND(M90&lt;&gt;"",COUNTIF('联系人'!$A$8:$A$207,M90)&lt;&gt;1),AND(T90&lt;&gt;"",COUNTIF('跟进待办'!$A$8:$A$207,T90)&lt;&gt;1),AND(U90&lt;&gt;"",COUNTIF('沟通记录'!$A$8:$A$207,U90)&lt;&gt;1)),"检查编号或关联","正常"))</f>
        <v/>
      </c>
    </row>
    <row r="91" ht="34" customHeight="1">
      <c r="A91" s="32" t="n"/>
      <c r="B91" s="32" t="n"/>
      <c r="C91" s="34">
        <f>IF(B91="","",IF(COUNTIF('用胶项目'!$A$8:$A$207,B91)&lt;&gt;1,"编号缺失或重复",INDEX('用胶项目'!$B$8:$B$207,MATCH(B91,'用胶项目'!$A$8:$A$207,0))))</f>
        <v/>
      </c>
      <c r="D91" s="32" t="n"/>
      <c r="E91" s="10" t="n"/>
      <c r="F91" s="38" t="n"/>
      <c r="G91" s="10" t="n"/>
      <c r="H91" s="10" t="n"/>
      <c r="I91" s="10" t="n"/>
      <c r="J91" s="33" t="n"/>
      <c r="K91" s="32" t="n"/>
      <c r="L91" s="33" t="n"/>
      <c r="M91" s="32" t="n"/>
      <c r="N91" s="33" t="n"/>
      <c r="O91" s="10" t="n"/>
      <c r="P91" s="10" t="n"/>
      <c r="Q91" s="10" t="n"/>
      <c r="R91" s="10" t="n"/>
      <c r="S91" s="10" t="n"/>
      <c r="T91" s="32" t="n"/>
      <c r="U91" s="32" t="n"/>
      <c r="V91" s="16">
        <f>IF(A91="","",IF(OR(COUNTIF($A$8:$A$207,A91)&lt;&gt;1,COUNTIF('用胶项目'!$A$8:$A$207,B91)&lt;&gt;1,AND(D91&lt;&gt;"",COUNTIF('联系人'!$A$8:$A$207,D91)&lt;&gt;1),AND(M91&lt;&gt;"",COUNTIF('联系人'!$A$8:$A$207,M91)&lt;&gt;1),AND(T91&lt;&gt;"",COUNTIF('跟进待办'!$A$8:$A$207,T91)&lt;&gt;1),AND(U91&lt;&gt;"",COUNTIF('沟通记录'!$A$8:$A$207,U91)&lt;&gt;1)),"检查编号或关联","正常"))</f>
        <v/>
      </c>
    </row>
    <row r="92" ht="34" customHeight="1">
      <c r="A92" s="32" t="n"/>
      <c r="B92" s="32" t="n"/>
      <c r="C92" s="34">
        <f>IF(B92="","",IF(COUNTIF('用胶项目'!$A$8:$A$207,B92)&lt;&gt;1,"编号缺失或重复",INDEX('用胶项目'!$B$8:$B$207,MATCH(B92,'用胶项目'!$A$8:$A$207,0))))</f>
        <v/>
      </c>
      <c r="D92" s="32" t="n"/>
      <c r="E92" s="10" t="n"/>
      <c r="F92" s="38" t="n"/>
      <c r="G92" s="10" t="n"/>
      <c r="H92" s="10" t="n"/>
      <c r="I92" s="10" t="n"/>
      <c r="J92" s="33" t="n"/>
      <c r="K92" s="32" t="n"/>
      <c r="L92" s="33" t="n"/>
      <c r="M92" s="32" t="n"/>
      <c r="N92" s="33" t="n"/>
      <c r="O92" s="10" t="n"/>
      <c r="P92" s="10" t="n"/>
      <c r="Q92" s="10" t="n"/>
      <c r="R92" s="10" t="n"/>
      <c r="S92" s="10" t="n"/>
      <c r="T92" s="32" t="n"/>
      <c r="U92" s="32" t="n"/>
      <c r="V92" s="16">
        <f>IF(A92="","",IF(OR(COUNTIF($A$8:$A$207,A92)&lt;&gt;1,COUNTIF('用胶项目'!$A$8:$A$207,B92)&lt;&gt;1,AND(D92&lt;&gt;"",COUNTIF('联系人'!$A$8:$A$207,D92)&lt;&gt;1),AND(M92&lt;&gt;"",COUNTIF('联系人'!$A$8:$A$207,M92)&lt;&gt;1),AND(T92&lt;&gt;"",COUNTIF('跟进待办'!$A$8:$A$207,T92)&lt;&gt;1),AND(U92&lt;&gt;"",COUNTIF('沟通记录'!$A$8:$A$207,U92)&lt;&gt;1)),"检查编号或关联","正常"))</f>
        <v/>
      </c>
    </row>
    <row r="93" ht="34" customHeight="1">
      <c r="A93" s="32" t="n"/>
      <c r="B93" s="32" t="n"/>
      <c r="C93" s="34">
        <f>IF(B93="","",IF(COUNTIF('用胶项目'!$A$8:$A$207,B93)&lt;&gt;1,"编号缺失或重复",INDEX('用胶项目'!$B$8:$B$207,MATCH(B93,'用胶项目'!$A$8:$A$207,0))))</f>
        <v/>
      </c>
      <c r="D93" s="32" t="n"/>
      <c r="E93" s="10" t="n"/>
      <c r="F93" s="38" t="n"/>
      <c r="G93" s="10" t="n"/>
      <c r="H93" s="10" t="n"/>
      <c r="I93" s="10" t="n"/>
      <c r="J93" s="33" t="n"/>
      <c r="K93" s="32" t="n"/>
      <c r="L93" s="33" t="n"/>
      <c r="M93" s="32" t="n"/>
      <c r="N93" s="33" t="n"/>
      <c r="O93" s="10" t="n"/>
      <c r="P93" s="10" t="n"/>
      <c r="Q93" s="10" t="n"/>
      <c r="R93" s="10" t="n"/>
      <c r="S93" s="10" t="n"/>
      <c r="T93" s="32" t="n"/>
      <c r="U93" s="32" t="n"/>
      <c r="V93" s="16">
        <f>IF(A93="","",IF(OR(COUNTIF($A$8:$A$207,A93)&lt;&gt;1,COUNTIF('用胶项目'!$A$8:$A$207,B93)&lt;&gt;1,AND(D93&lt;&gt;"",COUNTIF('联系人'!$A$8:$A$207,D93)&lt;&gt;1),AND(M93&lt;&gt;"",COUNTIF('联系人'!$A$8:$A$207,M93)&lt;&gt;1),AND(T93&lt;&gt;"",COUNTIF('跟进待办'!$A$8:$A$207,T93)&lt;&gt;1),AND(U93&lt;&gt;"",COUNTIF('沟通记录'!$A$8:$A$207,U93)&lt;&gt;1)),"检查编号或关联","正常"))</f>
        <v/>
      </c>
    </row>
    <row r="94" ht="34" customHeight="1">
      <c r="A94" s="32" t="n"/>
      <c r="B94" s="32" t="n"/>
      <c r="C94" s="34">
        <f>IF(B94="","",IF(COUNTIF('用胶项目'!$A$8:$A$207,B94)&lt;&gt;1,"编号缺失或重复",INDEX('用胶项目'!$B$8:$B$207,MATCH(B94,'用胶项目'!$A$8:$A$207,0))))</f>
        <v/>
      </c>
      <c r="D94" s="32" t="n"/>
      <c r="E94" s="10" t="n"/>
      <c r="F94" s="38" t="n"/>
      <c r="G94" s="10" t="n"/>
      <c r="H94" s="10" t="n"/>
      <c r="I94" s="10" t="n"/>
      <c r="J94" s="33" t="n"/>
      <c r="K94" s="32" t="n"/>
      <c r="L94" s="33" t="n"/>
      <c r="M94" s="32" t="n"/>
      <c r="N94" s="33" t="n"/>
      <c r="O94" s="10" t="n"/>
      <c r="P94" s="10" t="n"/>
      <c r="Q94" s="10" t="n"/>
      <c r="R94" s="10" t="n"/>
      <c r="S94" s="10" t="n"/>
      <c r="T94" s="32" t="n"/>
      <c r="U94" s="32" t="n"/>
      <c r="V94" s="16">
        <f>IF(A94="","",IF(OR(COUNTIF($A$8:$A$207,A94)&lt;&gt;1,COUNTIF('用胶项目'!$A$8:$A$207,B94)&lt;&gt;1,AND(D94&lt;&gt;"",COUNTIF('联系人'!$A$8:$A$207,D94)&lt;&gt;1),AND(M94&lt;&gt;"",COUNTIF('联系人'!$A$8:$A$207,M94)&lt;&gt;1),AND(T94&lt;&gt;"",COUNTIF('跟进待办'!$A$8:$A$207,T94)&lt;&gt;1),AND(U94&lt;&gt;"",COUNTIF('沟通记录'!$A$8:$A$207,U94)&lt;&gt;1)),"检查编号或关联","正常"))</f>
        <v/>
      </c>
    </row>
    <row r="95" ht="34" customHeight="1">
      <c r="A95" s="32" t="n"/>
      <c r="B95" s="32" t="n"/>
      <c r="C95" s="34">
        <f>IF(B95="","",IF(COUNTIF('用胶项目'!$A$8:$A$207,B95)&lt;&gt;1,"编号缺失或重复",INDEX('用胶项目'!$B$8:$B$207,MATCH(B95,'用胶项目'!$A$8:$A$207,0))))</f>
        <v/>
      </c>
      <c r="D95" s="32" t="n"/>
      <c r="E95" s="10" t="n"/>
      <c r="F95" s="38" t="n"/>
      <c r="G95" s="10" t="n"/>
      <c r="H95" s="10" t="n"/>
      <c r="I95" s="10" t="n"/>
      <c r="J95" s="33" t="n"/>
      <c r="K95" s="32" t="n"/>
      <c r="L95" s="33" t="n"/>
      <c r="M95" s="32" t="n"/>
      <c r="N95" s="33" t="n"/>
      <c r="O95" s="10" t="n"/>
      <c r="P95" s="10" t="n"/>
      <c r="Q95" s="10" t="n"/>
      <c r="R95" s="10" t="n"/>
      <c r="S95" s="10" t="n"/>
      <c r="T95" s="32" t="n"/>
      <c r="U95" s="32" t="n"/>
      <c r="V95" s="16">
        <f>IF(A95="","",IF(OR(COUNTIF($A$8:$A$207,A95)&lt;&gt;1,COUNTIF('用胶项目'!$A$8:$A$207,B95)&lt;&gt;1,AND(D95&lt;&gt;"",COUNTIF('联系人'!$A$8:$A$207,D95)&lt;&gt;1),AND(M95&lt;&gt;"",COUNTIF('联系人'!$A$8:$A$207,M95)&lt;&gt;1),AND(T95&lt;&gt;"",COUNTIF('跟进待办'!$A$8:$A$207,T95)&lt;&gt;1),AND(U95&lt;&gt;"",COUNTIF('沟通记录'!$A$8:$A$207,U95)&lt;&gt;1)),"检查编号或关联","正常"))</f>
        <v/>
      </c>
    </row>
    <row r="96" ht="34" customHeight="1">
      <c r="A96" s="32" t="n"/>
      <c r="B96" s="32" t="n"/>
      <c r="C96" s="34">
        <f>IF(B96="","",IF(COUNTIF('用胶项目'!$A$8:$A$207,B96)&lt;&gt;1,"编号缺失或重复",INDEX('用胶项目'!$B$8:$B$207,MATCH(B96,'用胶项目'!$A$8:$A$207,0))))</f>
        <v/>
      </c>
      <c r="D96" s="32" t="n"/>
      <c r="E96" s="10" t="n"/>
      <c r="F96" s="38" t="n"/>
      <c r="G96" s="10" t="n"/>
      <c r="H96" s="10" t="n"/>
      <c r="I96" s="10" t="n"/>
      <c r="J96" s="33" t="n"/>
      <c r="K96" s="32" t="n"/>
      <c r="L96" s="33" t="n"/>
      <c r="M96" s="32" t="n"/>
      <c r="N96" s="33" t="n"/>
      <c r="O96" s="10" t="n"/>
      <c r="P96" s="10" t="n"/>
      <c r="Q96" s="10" t="n"/>
      <c r="R96" s="10" t="n"/>
      <c r="S96" s="10" t="n"/>
      <c r="T96" s="32" t="n"/>
      <c r="U96" s="32" t="n"/>
      <c r="V96" s="16">
        <f>IF(A96="","",IF(OR(COUNTIF($A$8:$A$207,A96)&lt;&gt;1,COUNTIF('用胶项目'!$A$8:$A$207,B96)&lt;&gt;1,AND(D96&lt;&gt;"",COUNTIF('联系人'!$A$8:$A$207,D96)&lt;&gt;1),AND(M96&lt;&gt;"",COUNTIF('联系人'!$A$8:$A$207,M96)&lt;&gt;1),AND(T96&lt;&gt;"",COUNTIF('跟进待办'!$A$8:$A$207,T96)&lt;&gt;1),AND(U96&lt;&gt;"",COUNTIF('沟通记录'!$A$8:$A$207,U96)&lt;&gt;1)),"检查编号或关联","正常"))</f>
        <v/>
      </c>
    </row>
    <row r="97" ht="34" customHeight="1">
      <c r="A97" s="32" t="n"/>
      <c r="B97" s="32" t="n"/>
      <c r="C97" s="34">
        <f>IF(B97="","",IF(COUNTIF('用胶项目'!$A$8:$A$207,B97)&lt;&gt;1,"编号缺失或重复",INDEX('用胶项目'!$B$8:$B$207,MATCH(B97,'用胶项目'!$A$8:$A$207,0))))</f>
        <v/>
      </c>
      <c r="D97" s="32" t="n"/>
      <c r="E97" s="10" t="n"/>
      <c r="F97" s="38" t="n"/>
      <c r="G97" s="10" t="n"/>
      <c r="H97" s="10" t="n"/>
      <c r="I97" s="10" t="n"/>
      <c r="J97" s="33" t="n"/>
      <c r="K97" s="32" t="n"/>
      <c r="L97" s="33" t="n"/>
      <c r="M97" s="32" t="n"/>
      <c r="N97" s="33" t="n"/>
      <c r="O97" s="10" t="n"/>
      <c r="P97" s="10" t="n"/>
      <c r="Q97" s="10" t="n"/>
      <c r="R97" s="10" t="n"/>
      <c r="S97" s="10" t="n"/>
      <c r="T97" s="32" t="n"/>
      <c r="U97" s="32" t="n"/>
      <c r="V97" s="16">
        <f>IF(A97="","",IF(OR(COUNTIF($A$8:$A$207,A97)&lt;&gt;1,COUNTIF('用胶项目'!$A$8:$A$207,B97)&lt;&gt;1,AND(D97&lt;&gt;"",COUNTIF('联系人'!$A$8:$A$207,D97)&lt;&gt;1),AND(M97&lt;&gt;"",COUNTIF('联系人'!$A$8:$A$207,M97)&lt;&gt;1),AND(T97&lt;&gt;"",COUNTIF('跟进待办'!$A$8:$A$207,T97)&lt;&gt;1),AND(U97&lt;&gt;"",COUNTIF('沟通记录'!$A$8:$A$207,U97)&lt;&gt;1)),"检查编号或关联","正常"))</f>
        <v/>
      </c>
    </row>
    <row r="98" ht="34" customHeight="1">
      <c r="A98" s="32" t="n"/>
      <c r="B98" s="32" t="n"/>
      <c r="C98" s="34">
        <f>IF(B98="","",IF(COUNTIF('用胶项目'!$A$8:$A$207,B98)&lt;&gt;1,"编号缺失或重复",INDEX('用胶项目'!$B$8:$B$207,MATCH(B98,'用胶项目'!$A$8:$A$207,0))))</f>
        <v/>
      </c>
      <c r="D98" s="32" t="n"/>
      <c r="E98" s="10" t="n"/>
      <c r="F98" s="38" t="n"/>
      <c r="G98" s="10" t="n"/>
      <c r="H98" s="10" t="n"/>
      <c r="I98" s="10" t="n"/>
      <c r="J98" s="33" t="n"/>
      <c r="K98" s="32" t="n"/>
      <c r="L98" s="33" t="n"/>
      <c r="M98" s="32" t="n"/>
      <c r="N98" s="33" t="n"/>
      <c r="O98" s="10" t="n"/>
      <c r="P98" s="10" t="n"/>
      <c r="Q98" s="10" t="n"/>
      <c r="R98" s="10" t="n"/>
      <c r="S98" s="10" t="n"/>
      <c r="T98" s="32" t="n"/>
      <c r="U98" s="32" t="n"/>
      <c r="V98" s="16">
        <f>IF(A98="","",IF(OR(COUNTIF($A$8:$A$207,A98)&lt;&gt;1,COUNTIF('用胶项目'!$A$8:$A$207,B98)&lt;&gt;1,AND(D98&lt;&gt;"",COUNTIF('联系人'!$A$8:$A$207,D98)&lt;&gt;1),AND(M98&lt;&gt;"",COUNTIF('联系人'!$A$8:$A$207,M98)&lt;&gt;1),AND(T98&lt;&gt;"",COUNTIF('跟进待办'!$A$8:$A$207,T98)&lt;&gt;1),AND(U98&lt;&gt;"",COUNTIF('沟通记录'!$A$8:$A$207,U98)&lt;&gt;1)),"检查编号或关联","正常"))</f>
        <v/>
      </c>
    </row>
    <row r="99" ht="34" customHeight="1">
      <c r="A99" s="32" t="n"/>
      <c r="B99" s="32" t="n"/>
      <c r="C99" s="34">
        <f>IF(B99="","",IF(COUNTIF('用胶项目'!$A$8:$A$207,B99)&lt;&gt;1,"编号缺失或重复",INDEX('用胶项目'!$B$8:$B$207,MATCH(B99,'用胶项目'!$A$8:$A$207,0))))</f>
        <v/>
      </c>
      <c r="D99" s="32" t="n"/>
      <c r="E99" s="10" t="n"/>
      <c r="F99" s="38" t="n"/>
      <c r="G99" s="10" t="n"/>
      <c r="H99" s="10" t="n"/>
      <c r="I99" s="10" t="n"/>
      <c r="J99" s="33" t="n"/>
      <c r="K99" s="32" t="n"/>
      <c r="L99" s="33" t="n"/>
      <c r="M99" s="32" t="n"/>
      <c r="N99" s="33" t="n"/>
      <c r="O99" s="10" t="n"/>
      <c r="P99" s="10" t="n"/>
      <c r="Q99" s="10" t="n"/>
      <c r="R99" s="10" t="n"/>
      <c r="S99" s="10" t="n"/>
      <c r="T99" s="32" t="n"/>
      <c r="U99" s="32" t="n"/>
      <c r="V99" s="16">
        <f>IF(A99="","",IF(OR(COUNTIF($A$8:$A$207,A99)&lt;&gt;1,COUNTIF('用胶项目'!$A$8:$A$207,B99)&lt;&gt;1,AND(D99&lt;&gt;"",COUNTIF('联系人'!$A$8:$A$207,D99)&lt;&gt;1),AND(M99&lt;&gt;"",COUNTIF('联系人'!$A$8:$A$207,M99)&lt;&gt;1),AND(T99&lt;&gt;"",COUNTIF('跟进待办'!$A$8:$A$207,T99)&lt;&gt;1),AND(U99&lt;&gt;"",COUNTIF('沟通记录'!$A$8:$A$207,U99)&lt;&gt;1)),"检查编号或关联","正常"))</f>
        <v/>
      </c>
    </row>
    <row r="100" ht="34" customHeight="1">
      <c r="A100" s="32" t="n"/>
      <c r="B100" s="32" t="n"/>
      <c r="C100" s="34">
        <f>IF(B100="","",IF(COUNTIF('用胶项目'!$A$8:$A$207,B100)&lt;&gt;1,"编号缺失或重复",INDEX('用胶项目'!$B$8:$B$207,MATCH(B100,'用胶项目'!$A$8:$A$207,0))))</f>
        <v/>
      </c>
      <c r="D100" s="32" t="n"/>
      <c r="E100" s="10" t="n"/>
      <c r="F100" s="38" t="n"/>
      <c r="G100" s="10" t="n"/>
      <c r="H100" s="10" t="n"/>
      <c r="I100" s="10" t="n"/>
      <c r="J100" s="33" t="n"/>
      <c r="K100" s="32" t="n"/>
      <c r="L100" s="33" t="n"/>
      <c r="M100" s="32" t="n"/>
      <c r="N100" s="33" t="n"/>
      <c r="O100" s="10" t="n"/>
      <c r="P100" s="10" t="n"/>
      <c r="Q100" s="10" t="n"/>
      <c r="R100" s="10" t="n"/>
      <c r="S100" s="10" t="n"/>
      <c r="T100" s="32" t="n"/>
      <c r="U100" s="32" t="n"/>
      <c r="V100" s="16">
        <f>IF(A100="","",IF(OR(COUNTIF($A$8:$A$207,A100)&lt;&gt;1,COUNTIF('用胶项目'!$A$8:$A$207,B100)&lt;&gt;1,AND(D100&lt;&gt;"",COUNTIF('联系人'!$A$8:$A$207,D100)&lt;&gt;1),AND(M100&lt;&gt;"",COUNTIF('联系人'!$A$8:$A$207,M100)&lt;&gt;1),AND(T100&lt;&gt;"",COUNTIF('跟进待办'!$A$8:$A$207,T100)&lt;&gt;1),AND(U100&lt;&gt;"",COUNTIF('沟通记录'!$A$8:$A$207,U100)&lt;&gt;1)),"检查编号或关联","正常"))</f>
        <v/>
      </c>
    </row>
    <row r="101" ht="34" customHeight="1">
      <c r="A101" s="32" t="n"/>
      <c r="B101" s="32" t="n"/>
      <c r="C101" s="34">
        <f>IF(B101="","",IF(COUNTIF('用胶项目'!$A$8:$A$207,B101)&lt;&gt;1,"编号缺失或重复",INDEX('用胶项目'!$B$8:$B$207,MATCH(B101,'用胶项目'!$A$8:$A$207,0))))</f>
        <v/>
      </c>
      <c r="D101" s="32" t="n"/>
      <c r="E101" s="10" t="n"/>
      <c r="F101" s="38" t="n"/>
      <c r="G101" s="10" t="n"/>
      <c r="H101" s="10" t="n"/>
      <c r="I101" s="10" t="n"/>
      <c r="J101" s="33" t="n"/>
      <c r="K101" s="32" t="n"/>
      <c r="L101" s="33" t="n"/>
      <c r="M101" s="32" t="n"/>
      <c r="N101" s="33" t="n"/>
      <c r="O101" s="10" t="n"/>
      <c r="P101" s="10" t="n"/>
      <c r="Q101" s="10" t="n"/>
      <c r="R101" s="10" t="n"/>
      <c r="S101" s="10" t="n"/>
      <c r="T101" s="32" t="n"/>
      <c r="U101" s="32" t="n"/>
      <c r="V101" s="16">
        <f>IF(A101="","",IF(OR(COUNTIF($A$8:$A$207,A101)&lt;&gt;1,COUNTIF('用胶项目'!$A$8:$A$207,B101)&lt;&gt;1,AND(D101&lt;&gt;"",COUNTIF('联系人'!$A$8:$A$207,D101)&lt;&gt;1),AND(M101&lt;&gt;"",COUNTIF('联系人'!$A$8:$A$207,M101)&lt;&gt;1),AND(T101&lt;&gt;"",COUNTIF('跟进待办'!$A$8:$A$207,T101)&lt;&gt;1),AND(U101&lt;&gt;"",COUNTIF('沟通记录'!$A$8:$A$207,U101)&lt;&gt;1)),"检查编号或关联","正常"))</f>
        <v/>
      </c>
    </row>
    <row r="102" ht="34" customHeight="1">
      <c r="A102" s="32" t="n"/>
      <c r="B102" s="32" t="n"/>
      <c r="C102" s="34">
        <f>IF(B102="","",IF(COUNTIF('用胶项目'!$A$8:$A$207,B102)&lt;&gt;1,"编号缺失或重复",INDEX('用胶项目'!$B$8:$B$207,MATCH(B102,'用胶项目'!$A$8:$A$207,0))))</f>
        <v/>
      </c>
      <c r="D102" s="32" t="n"/>
      <c r="E102" s="10" t="n"/>
      <c r="F102" s="38" t="n"/>
      <c r="G102" s="10" t="n"/>
      <c r="H102" s="10" t="n"/>
      <c r="I102" s="10" t="n"/>
      <c r="J102" s="33" t="n"/>
      <c r="K102" s="32" t="n"/>
      <c r="L102" s="33" t="n"/>
      <c r="M102" s="32" t="n"/>
      <c r="N102" s="33" t="n"/>
      <c r="O102" s="10" t="n"/>
      <c r="P102" s="10" t="n"/>
      <c r="Q102" s="10" t="n"/>
      <c r="R102" s="10" t="n"/>
      <c r="S102" s="10" t="n"/>
      <c r="T102" s="32" t="n"/>
      <c r="U102" s="32" t="n"/>
      <c r="V102" s="16">
        <f>IF(A102="","",IF(OR(COUNTIF($A$8:$A$207,A102)&lt;&gt;1,COUNTIF('用胶项目'!$A$8:$A$207,B102)&lt;&gt;1,AND(D102&lt;&gt;"",COUNTIF('联系人'!$A$8:$A$207,D102)&lt;&gt;1),AND(M102&lt;&gt;"",COUNTIF('联系人'!$A$8:$A$207,M102)&lt;&gt;1),AND(T102&lt;&gt;"",COUNTIF('跟进待办'!$A$8:$A$207,T102)&lt;&gt;1),AND(U102&lt;&gt;"",COUNTIF('沟通记录'!$A$8:$A$207,U102)&lt;&gt;1)),"检查编号或关联","正常"))</f>
        <v/>
      </c>
    </row>
    <row r="103" ht="34" customHeight="1">
      <c r="A103" s="32" t="n"/>
      <c r="B103" s="32" t="n"/>
      <c r="C103" s="34">
        <f>IF(B103="","",IF(COUNTIF('用胶项目'!$A$8:$A$207,B103)&lt;&gt;1,"编号缺失或重复",INDEX('用胶项目'!$B$8:$B$207,MATCH(B103,'用胶项目'!$A$8:$A$207,0))))</f>
        <v/>
      </c>
      <c r="D103" s="32" t="n"/>
      <c r="E103" s="10" t="n"/>
      <c r="F103" s="38" t="n"/>
      <c r="G103" s="10" t="n"/>
      <c r="H103" s="10" t="n"/>
      <c r="I103" s="10" t="n"/>
      <c r="J103" s="33" t="n"/>
      <c r="K103" s="32" t="n"/>
      <c r="L103" s="33" t="n"/>
      <c r="M103" s="32" t="n"/>
      <c r="N103" s="33" t="n"/>
      <c r="O103" s="10" t="n"/>
      <c r="P103" s="10" t="n"/>
      <c r="Q103" s="10" t="n"/>
      <c r="R103" s="10" t="n"/>
      <c r="S103" s="10" t="n"/>
      <c r="T103" s="32" t="n"/>
      <c r="U103" s="32" t="n"/>
      <c r="V103" s="16">
        <f>IF(A103="","",IF(OR(COUNTIF($A$8:$A$207,A103)&lt;&gt;1,COUNTIF('用胶项目'!$A$8:$A$207,B103)&lt;&gt;1,AND(D103&lt;&gt;"",COUNTIF('联系人'!$A$8:$A$207,D103)&lt;&gt;1),AND(M103&lt;&gt;"",COUNTIF('联系人'!$A$8:$A$207,M103)&lt;&gt;1),AND(T103&lt;&gt;"",COUNTIF('跟进待办'!$A$8:$A$207,T103)&lt;&gt;1),AND(U103&lt;&gt;"",COUNTIF('沟通记录'!$A$8:$A$207,U103)&lt;&gt;1)),"检查编号或关联","正常"))</f>
        <v/>
      </c>
    </row>
    <row r="104" ht="34" customHeight="1">
      <c r="A104" s="32" t="n"/>
      <c r="B104" s="32" t="n"/>
      <c r="C104" s="34">
        <f>IF(B104="","",IF(COUNTIF('用胶项目'!$A$8:$A$207,B104)&lt;&gt;1,"编号缺失或重复",INDEX('用胶项目'!$B$8:$B$207,MATCH(B104,'用胶项目'!$A$8:$A$207,0))))</f>
        <v/>
      </c>
      <c r="D104" s="32" t="n"/>
      <c r="E104" s="10" t="n"/>
      <c r="F104" s="38" t="n"/>
      <c r="G104" s="10" t="n"/>
      <c r="H104" s="10" t="n"/>
      <c r="I104" s="10" t="n"/>
      <c r="J104" s="33" t="n"/>
      <c r="K104" s="32" t="n"/>
      <c r="L104" s="33" t="n"/>
      <c r="M104" s="32" t="n"/>
      <c r="N104" s="33" t="n"/>
      <c r="O104" s="10" t="n"/>
      <c r="P104" s="10" t="n"/>
      <c r="Q104" s="10" t="n"/>
      <c r="R104" s="10" t="n"/>
      <c r="S104" s="10" t="n"/>
      <c r="T104" s="32" t="n"/>
      <c r="U104" s="32" t="n"/>
      <c r="V104" s="16">
        <f>IF(A104="","",IF(OR(COUNTIF($A$8:$A$207,A104)&lt;&gt;1,COUNTIF('用胶项目'!$A$8:$A$207,B104)&lt;&gt;1,AND(D104&lt;&gt;"",COUNTIF('联系人'!$A$8:$A$207,D104)&lt;&gt;1),AND(M104&lt;&gt;"",COUNTIF('联系人'!$A$8:$A$207,M104)&lt;&gt;1),AND(T104&lt;&gt;"",COUNTIF('跟进待办'!$A$8:$A$207,T104)&lt;&gt;1),AND(U104&lt;&gt;"",COUNTIF('沟通记录'!$A$8:$A$207,U104)&lt;&gt;1)),"检查编号或关联","正常"))</f>
        <v/>
      </c>
    </row>
    <row r="105" ht="34" customHeight="1">
      <c r="A105" s="32" t="n"/>
      <c r="B105" s="32" t="n"/>
      <c r="C105" s="34">
        <f>IF(B105="","",IF(COUNTIF('用胶项目'!$A$8:$A$207,B105)&lt;&gt;1,"编号缺失或重复",INDEX('用胶项目'!$B$8:$B$207,MATCH(B105,'用胶项目'!$A$8:$A$207,0))))</f>
        <v/>
      </c>
      <c r="D105" s="32" t="n"/>
      <c r="E105" s="10" t="n"/>
      <c r="F105" s="38" t="n"/>
      <c r="G105" s="10" t="n"/>
      <c r="H105" s="10" t="n"/>
      <c r="I105" s="10" t="n"/>
      <c r="J105" s="33" t="n"/>
      <c r="K105" s="32" t="n"/>
      <c r="L105" s="33" t="n"/>
      <c r="M105" s="32" t="n"/>
      <c r="N105" s="33" t="n"/>
      <c r="O105" s="10" t="n"/>
      <c r="P105" s="10" t="n"/>
      <c r="Q105" s="10" t="n"/>
      <c r="R105" s="10" t="n"/>
      <c r="S105" s="10" t="n"/>
      <c r="T105" s="32" t="n"/>
      <c r="U105" s="32" t="n"/>
      <c r="V105" s="16">
        <f>IF(A105="","",IF(OR(COUNTIF($A$8:$A$207,A105)&lt;&gt;1,COUNTIF('用胶项目'!$A$8:$A$207,B105)&lt;&gt;1,AND(D105&lt;&gt;"",COUNTIF('联系人'!$A$8:$A$207,D105)&lt;&gt;1),AND(M105&lt;&gt;"",COUNTIF('联系人'!$A$8:$A$207,M105)&lt;&gt;1),AND(T105&lt;&gt;"",COUNTIF('跟进待办'!$A$8:$A$207,T105)&lt;&gt;1),AND(U105&lt;&gt;"",COUNTIF('沟通记录'!$A$8:$A$207,U105)&lt;&gt;1)),"检查编号或关联","正常"))</f>
        <v/>
      </c>
    </row>
    <row r="106" ht="34" customHeight="1">
      <c r="A106" s="32" t="n"/>
      <c r="B106" s="32" t="n"/>
      <c r="C106" s="34">
        <f>IF(B106="","",IF(COUNTIF('用胶项目'!$A$8:$A$207,B106)&lt;&gt;1,"编号缺失或重复",INDEX('用胶项目'!$B$8:$B$207,MATCH(B106,'用胶项目'!$A$8:$A$207,0))))</f>
        <v/>
      </c>
      <c r="D106" s="32" t="n"/>
      <c r="E106" s="10" t="n"/>
      <c r="F106" s="38" t="n"/>
      <c r="G106" s="10" t="n"/>
      <c r="H106" s="10" t="n"/>
      <c r="I106" s="10" t="n"/>
      <c r="J106" s="33" t="n"/>
      <c r="K106" s="32" t="n"/>
      <c r="L106" s="33" t="n"/>
      <c r="M106" s="32" t="n"/>
      <c r="N106" s="33" t="n"/>
      <c r="O106" s="10" t="n"/>
      <c r="P106" s="10" t="n"/>
      <c r="Q106" s="10" t="n"/>
      <c r="R106" s="10" t="n"/>
      <c r="S106" s="10" t="n"/>
      <c r="T106" s="32" t="n"/>
      <c r="U106" s="32" t="n"/>
      <c r="V106" s="16">
        <f>IF(A106="","",IF(OR(COUNTIF($A$8:$A$207,A106)&lt;&gt;1,COUNTIF('用胶项目'!$A$8:$A$207,B106)&lt;&gt;1,AND(D106&lt;&gt;"",COUNTIF('联系人'!$A$8:$A$207,D106)&lt;&gt;1),AND(M106&lt;&gt;"",COUNTIF('联系人'!$A$8:$A$207,M106)&lt;&gt;1),AND(T106&lt;&gt;"",COUNTIF('跟进待办'!$A$8:$A$207,T106)&lt;&gt;1),AND(U106&lt;&gt;"",COUNTIF('沟通记录'!$A$8:$A$207,U106)&lt;&gt;1)),"检查编号或关联","正常"))</f>
        <v/>
      </c>
    </row>
    <row r="107" ht="34" customHeight="1">
      <c r="A107" s="32" t="n"/>
      <c r="B107" s="32" t="n"/>
      <c r="C107" s="34">
        <f>IF(B107="","",IF(COUNTIF('用胶项目'!$A$8:$A$207,B107)&lt;&gt;1,"编号缺失或重复",INDEX('用胶项目'!$B$8:$B$207,MATCH(B107,'用胶项目'!$A$8:$A$207,0))))</f>
        <v/>
      </c>
      <c r="D107" s="32" t="n"/>
      <c r="E107" s="10" t="n"/>
      <c r="F107" s="38" t="n"/>
      <c r="G107" s="10" t="n"/>
      <c r="H107" s="10" t="n"/>
      <c r="I107" s="10" t="n"/>
      <c r="J107" s="33" t="n"/>
      <c r="K107" s="32" t="n"/>
      <c r="L107" s="33" t="n"/>
      <c r="M107" s="32" t="n"/>
      <c r="N107" s="33" t="n"/>
      <c r="O107" s="10" t="n"/>
      <c r="P107" s="10" t="n"/>
      <c r="Q107" s="10" t="n"/>
      <c r="R107" s="10" t="n"/>
      <c r="S107" s="10" t="n"/>
      <c r="T107" s="32" t="n"/>
      <c r="U107" s="32" t="n"/>
      <c r="V107" s="16">
        <f>IF(A107="","",IF(OR(COUNTIF($A$8:$A$207,A107)&lt;&gt;1,COUNTIF('用胶项目'!$A$8:$A$207,B107)&lt;&gt;1,AND(D107&lt;&gt;"",COUNTIF('联系人'!$A$8:$A$207,D107)&lt;&gt;1),AND(M107&lt;&gt;"",COUNTIF('联系人'!$A$8:$A$207,M107)&lt;&gt;1),AND(T107&lt;&gt;"",COUNTIF('跟进待办'!$A$8:$A$207,T107)&lt;&gt;1),AND(U107&lt;&gt;"",COUNTIF('沟通记录'!$A$8:$A$207,U107)&lt;&gt;1)),"检查编号或关联","正常"))</f>
        <v/>
      </c>
    </row>
    <row r="108" ht="34" customHeight="1">
      <c r="A108" s="32" t="n"/>
      <c r="B108" s="32" t="n"/>
      <c r="C108" s="34">
        <f>IF(B108="","",IF(COUNTIF('用胶项目'!$A$8:$A$207,B108)&lt;&gt;1,"编号缺失或重复",INDEX('用胶项目'!$B$8:$B$207,MATCH(B108,'用胶项目'!$A$8:$A$207,0))))</f>
        <v/>
      </c>
      <c r="D108" s="32" t="n"/>
      <c r="E108" s="10" t="n"/>
      <c r="F108" s="38" t="n"/>
      <c r="G108" s="10" t="n"/>
      <c r="H108" s="10" t="n"/>
      <c r="I108" s="10" t="n"/>
      <c r="J108" s="33" t="n"/>
      <c r="K108" s="32" t="n"/>
      <c r="L108" s="33" t="n"/>
      <c r="M108" s="32" t="n"/>
      <c r="N108" s="33" t="n"/>
      <c r="O108" s="10" t="n"/>
      <c r="P108" s="10" t="n"/>
      <c r="Q108" s="10" t="n"/>
      <c r="R108" s="10" t="n"/>
      <c r="S108" s="10" t="n"/>
      <c r="T108" s="32" t="n"/>
      <c r="U108" s="32" t="n"/>
      <c r="V108" s="16">
        <f>IF(A108="","",IF(OR(COUNTIF($A$8:$A$207,A108)&lt;&gt;1,COUNTIF('用胶项目'!$A$8:$A$207,B108)&lt;&gt;1,AND(D108&lt;&gt;"",COUNTIF('联系人'!$A$8:$A$207,D108)&lt;&gt;1),AND(M108&lt;&gt;"",COUNTIF('联系人'!$A$8:$A$207,M108)&lt;&gt;1),AND(T108&lt;&gt;"",COUNTIF('跟进待办'!$A$8:$A$207,T108)&lt;&gt;1),AND(U108&lt;&gt;"",COUNTIF('沟通记录'!$A$8:$A$207,U108)&lt;&gt;1)),"检查编号或关联","正常"))</f>
        <v/>
      </c>
    </row>
    <row r="109" ht="34" customHeight="1">
      <c r="A109" s="32" t="n"/>
      <c r="B109" s="32" t="n"/>
      <c r="C109" s="34">
        <f>IF(B109="","",IF(COUNTIF('用胶项目'!$A$8:$A$207,B109)&lt;&gt;1,"编号缺失或重复",INDEX('用胶项目'!$B$8:$B$207,MATCH(B109,'用胶项目'!$A$8:$A$207,0))))</f>
        <v/>
      </c>
      <c r="D109" s="32" t="n"/>
      <c r="E109" s="10" t="n"/>
      <c r="F109" s="38" t="n"/>
      <c r="G109" s="10" t="n"/>
      <c r="H109" s="10" t="n"/>
      <c r="I109" s="10" t="n"/>
      <c r="J109" s="33" t="n"/>
      <c r="K109" s="32" t="n"/>
      <c r="L109" s="33" t="n"/>
      <c r="M109" s="32" t="n"/>
      <c r="N109" s="33" t="n"/>
      <c r="O109" s="10" t="n"/>
      <c r="P109" s="10" t="n"/>
      <c r="Q109" s="10" t="n"/>
      <c r="R109" s="10" t="n"/>
      <c r="S109" s="10" t="n"/>
      <c r="T109" s="32" t="n"/>
      <c r="U109" s="32" t="n"/>
      <c r="V109" s="16">
        <f>IF(A109="","",IF(OR(COUNTIF($A$8:$A$207,A109)&lt;&gt;1,COUNTIF('用胶项目'!$A$8:$A$207,B109)&lt;&gt;1,AND(D109&lt;&gt;"",COUNTIF('联系人'!$A$8:$A$207,D109)&lt;&gt;1),AND(M109&lt;&gt;"",COUNTIF('联系人'!$A$8:$A$207,M109)&lt;&gt;1),AND(T109&lt;&gt;"",COUNTIF('跟进待办'!$A$8:$A$207,T109)&lt;&gt;1),AND(U109&lt;&gt;"",COUNTIF('沟通记录'!$A$8:$A$207,U109)&lt;&gt;1)),"检查编号或关联","正常"))</f>
        <v/>
      </c>
    </row>
    <row r="110" ht="34" customHeight="1">
      <c r="A110" s="32" t="n"/>
      <c r="B110" s="32" t="n"/>
      <c r="C110" s="34">
        <f>IF(B110="","",IF(COUNTIF('用胶项目'!$A$8:$A$207,B110)&lt;&gt;1,"编号缺失或重复",INDEX('用胶项目'!$B$8:$B$207,MATCH(B110,'用胶项目'!$A$8:$A$207,0))))</f>
        <v/>
      </c>
      <c r="D110" s="32" t="n"/>
      <c r="E110" s="10" t="n"/>
      <c r="F110" s="38" t="n"/>
      <c r="G110" s="10" t="n"/>
      <c r="H110" s="10" t="n"/>
      <c r="I110" s="10" t="n"/>
      <c r="J110" s="33" t="n"/>
      <c r="K110" s="32" t="n"/>
      <c r="L110" s="33" t="n"/>
      <c r="M110" s="32" t="n"/>
      <c r="N110" s="33" t="n"/>
      <c r="O110" s="10" t="n"/>
      <c r="P110" s="10" t="n"/>
      <c r="Q110" s="10" t="n"/>
      <c r="R110" s="10" t="n"/>
      <c r="S110" s="10" t="n"/>
      <c r="T110" s="32" t="n"/>
      <c r="U110" s="32" t="n"/>
      <c r="V110" s="16">
        <f>IF(A110="","",IF(OR(COUNTIF($A$8:$A$207,A110)&lt;&gt;1,COUNTIF('用胶项目'!$A$8:$A$207,B110)&lt;&gt;1,AND(D110&lt;&gt;"",COUNTIF('联系人'!$A$8:$A$207,D110)&lt;&gt;1),AND(M110&lt;&gt;"",COUNTIF('联系人'!$A$8:$A$207,M110)&lt;&gt;1),AND(T110&lt;&gt;"",COUNTIF('跟进待办'!$A$8:$A$207,T110)&lt;&gt;1),AND(U110&lt;&gt;"",COUNTIF('沟通记录'!$A$8:$A$207,U110)&lt;&gt;1)),"检查编号或关联","正常"))</f>
        <v/>
      </c>
    </row>
    <row r="111" ht="34" customHeight="1">
      <c r="A111" s="32" t="n"/>
      <c r="B111" s="32" t="n"/>
      <c r="C111" s="34">
        <f>IF(B111="","",IF(COUNTIF('用胶项目'!$A$8:$A$207,B111)&lt;&gt;1,"编号缺失或重复",INDEX('用胶项目'!$B$8:$B$207,MATCH(B111,'用胶项目'!$A$8:$A$207,0))))</f>
        <v/>
      </c>
      <c r="D111" s="32" t="n"/>
      <c r="E111" s="10" t="n"/>
      <c r="F111" s="38" t="n"/>
      <c r="G111" s="10" t="n"/>
      <c r="H111" s="10" t="n"/>
      <c r="I111" s="10" t="n"/>
      <c r="J111" s="33" t="n"/>
      <c r="K111" s="32" t="n"/>
      <c r="L111" s="33" t="n"/>
      <c r="M111" s="32" t="n"/>
      <c r="N111" s="33" t="n"/>
      <c r="O111" s="10" t="n"/>
      <c r="P111" s="10" t="n"/>
      <c r="Q111" s="10" t="n"/>
      <c r="R111" s="10" t="n"/>
      <c r="S111" s="10" t="n"/>
      <c r="T111" s="32" t="n"/>
      <c r="U111" s="32" t="n"/>
      <c r="V111" s="16">
        <f>IF(A111="","",IF(OR(COUNTIF($A$8:$A$207,A111)&lt;&gt;1,COUNTIF('用胶项目'!$A$8:$A$207,B111)&lt;&gt;1,AND(D111&lt;&gt;"",COUNTIF('联系人'!$A$8:$A$207,D111)&lt;&gt;1),AND(M111&lt;&gt;"",COUNTIF('联系人'!$A$8:$A$207,M111)&lt;&gt;1),AND(T111&lt;&gt;"",COUNTIF('跟进待办'!$A$8:$A$207,T111)&lt;&gt;1),AND(U111&lt;&gt;"",COUNTIF('沟通记录'!$A$8:$A$207,U111)&lt;&gt;1)),"检查编号或关联","正常"))</f>
        <v/>
      </c>
    </row>
    <row r="112" ht="34" customHeight="1">
      <c r="A112" s="32" t="n"/>
      <c r="B112" s="32" t="n"/>
      <c r="C112" s="34">
        <f>IF(B112="","",IF(COUNTIF('用胶项目'!$A$8:$A$207,B112)&lt;&gt;1,"编号缺失或重复",INDEX('用胶项目'!$B$8:$B$207,MATCH(B112,'用胶项目'!$A$8:$A$207,0))))</f>
        <v/>
      </c>
      <c r="D112" s="32" t="n"/>
      <c r="E112" s="10" t="n"/>
      <c r="F112" s="38" t="n"/>
      <c r="G112" s="10" t="n"/>
      <c r="H112" s="10" t="n"/>
      <c r="I112" s="10" t="n"/>
      <c r="J112" s="33" t="n"/>
      <c r="K112" s="32" t="n"/>
      <c r="L112" s="33" t="n"/>
      <c r="M112" s="32" t="n"/>
      <c r="N112" s="33" t="n"/>
      <c r="O112" s="10" t="n"/>
      <c r="P112" s="10" t="n"/>
      <c r="Q112" s="10" t="n"/>
      <c r="R112" s="10" t="n"/>
      <c r="S112" s="10" t="n"/>
      <c r="T112" s="32" t="n"/>
      <c r="U112" s="32" t="n"/>
      <c r="V112" s="16">
        <f>IF(A112="","",IF(OR(COUNTIF($A$8:$A$207,A112)&lt;&gt;1,COUNTIF('用胶项目'!$A$8:$A$207,B112)&lt;&gt;1,AND(D112&lt;&gt;"",COUNTIF('联系人'!$A$8:$A$207,D112)&lt;&gt;1),AND(M112&lt;&gt;"",COUNTIF('联系人'!$A$8:$A$207,M112)&lt;&gt;1),AND(T112&lt;&gt;"",COUNTIF('跟进待办'!$A$8:$A$207,T112)&lt;&gt;1),AND(U112&lt;&gt;"",COUNTIF('沟通记录'!$A$8:$A$207,U112)&lt;&gt;1)),"检查编号或关联","正常"))</f>
        <v/>
      </c>
    </row>
    <row r="113" ht="34" customHeight="1">
      <c r="A113" s="32" t="n"/>
      <c r="B113" s="32" t="n"/>
      <c r="C113" s="34">
        <f>IF(B113="","",IF(COUNTIF('用胶项目'!$A$8:$A$207,B113)&lt;&gt;1,"编号缺失或重复",INDEX('用胶项目'!$B$8:$B$207,MATCH(B113,'用胶项目'!$A$8:$A$207,0))))</f>
        <v/>
      </c>
      <c r="D113" s="32" t="n"/>
      <c r="E113" s="10" t="n"/>
      <c r="F113" s="38" t="n"/>
      <c r="G113" s="10" t="n"/>
      <c r="H113" s="10" t="n"/>
      <c r="I113" s="10" t="n"/>
      <c r="J113" s="33" t="n"/>
      <c r="K113" s="32" t="n"/>
      <c r="L113" s="33" t="n"/>
      <c r="M113" s="32" t="n"/>
      <c r="N113" s="33" t="n"/>
      <c r="O113" s="10" t="n"/>
      <c r="P113" s="10" t="n"/>
      <c r="Q113" s="10" t="n"/>
      <c r="R113" s="10" t="n"/>
      <c r="S113" s="10" t="n"/>
      <c r="T113" s="32" t="n"/>
      <c r="U113" s="32" t="n"/>
      <c r="V113" s="16">
        <f>IF(A113="","",IF(OR(COUNTIF($A$8:$A$207,A113)&lt;&gt;1,COUNTIF('用胶项目'!$A$8:$A$207,B113)&lt;&gt;1,AND(D113&lt;&gt;"",COUNTIF('联系人'!$A$8:$A$207,D113)&lt;&gt;1),AND(M113&lt;&gt;"",COUNTIF('联系人'!$A$8:$A$207,M113)&lt;&gt;1),AND(T113&lt;&gt;"",COUNTIF('跟进待办'!$A$8:$A$207,T113)&lt;&gt;1),AND(U113&lt;&gt;"",COUNTIF('沟通记录'!$A$8:$A$207,U113)&lt;&gt;1)),"检查编号或关联","正常"))</f>
        <v/>
      </c>
    </row>
    <row r="114" ht="34" customHeight="1">
      <c r="A114" s="32" t="n"/>
      <c r="B114" s="32" t="n"/>
      <c r="C114" s="34">
        <f>IF(B114="","",IF(COUNTIF('用胶项目'!$A$8:$A$207,B114)&lt;&gt;1,"编号缺失或重复",INDEX('用胶项目'!$B$8:$B$207,MATCH(B114,'用胶项目'!$A$8:$A$207,0))))</f>
        <v/>
      </c>
      <c r="D114" s="32" t="n"/>
      <c r="E114" s="10" t="n"/>
      <c r="F114" s="38" t="n"/>
      <c r="G114" s="10" t="n"/>
      <c r="H114" s="10" t="n"/>
      <c r="I114" s="10" t="n"/>
      <c r="J114" s="33" t="n"/>
      <c r="K114" s="32" t="n"/>
      <c r="L114" s="33" t="n"/>
      <c r="M114" s="32" t="n"/>
      <c r="N114" s="33" t="n"/>
      <c r="O114" s="10" t="n"/>
      <c r="P114" s="10" t="n"/>
      <c r="Q114" s="10" t="n"/>
      <c r="R114" s="10" t="n"/>
      <c r="S114" s="10" t="n"/>
      <c r="T114" s="32" t="n"/>
      <c r="U114" s="32" t="n"/>
      <c r="V114" s="16">
        <f>IF(A114="","",IF(OR(COUNTIF($A$8:$A$207,A114)&lt;&gt;1,COUNTIF('用胶项目'!$A$8:$A$207,B114)&lt;&gt;1,AND(D114&lt;&gt;"",COUNTIF('联系人'!$A$8:$A$207,D114)&lt;&gt;1),AND(M114&lt;&gt;"",COUNTIF('联系人'!$A$8:$A$207,M114)&lt;&gt;1),AND(T114&lt;&gt;"",COUNTIF('跟进待办'!$A$8:$A$207,T114)&lt;&gt;1),AND(U114&lt;&gt;"",COUNTIF('沟通记录'!$A$8:$A$207,U114)&lt;&gt;1)),"检查编号或关联","正常"))</f>
        <v/>
      </c>
    </row>
    <row r="115" ht="34" customHeight="1">
      <c r="A115" s="32" t="n"/>
      <c r="B115" s="32" t="n"/>
      <c r="C115" s="34">
        <f>IF(B115="","",IF(COUNTIF('用胶项目'!$A$8:$A$207,B115)&lt;&gt;1,"编号缺失或重复",INDEX('用胶项目'!$B$8:$B$207,MATCH(B115,'用胶项目'!$A$8:$A$207,0))))</f>
        <v/>
      </c>
      <c r="D115" s="32" t="n"/>
      <c r="E115" s="10" t="n"/>
      <c r="F115" s="38" t="n"/>
      <c r="G115" s="10" t="n"/>
      <c r="H115" s="10" t="n"/>
      <c r="I115" s="10" t="n"/>
      <c r="J115" s="33" t="n"/>
      <c r="K115" s="32" t="n"/>
      <c r="L115" s="33" t="n"/>
      <c r="M115" s="32" t="n"/>
      <c r="N115" s="33" t="n"/>
      <c r="O115" s="10" t="n"/>
      <c r="P115" s="10" t="n"/>
      <c r="Q115" s="10" t="n"/>
      <c r="R115" s="10" t="n"/>
      <c r="S115" s="10" t="n"/>
      <c r="T115" s="32" t="n"/>
      <c r="U115" s="32" t="n"/>
      <c r="V115" s="16">
        <f>IF(A115="","",IF(OR(COUNTIF($A$8:$A$207,A115)&lt;&gt;1,COUNTIF('用胶项目'!$A$8:$A$207,B115)&lt;&gt;1,AND(D115&lt;&gt;"",COUNTIF('联系人'!$A$8:$A$207,D115)&lt;&gt;1),AND(M115&lt;&gt;"",COUNTIF('联系人'!$A$8:$A$207,M115)&lt;&gt;1),AND(T115&lt;&gt;"",COUNTIF('跟进待办'!$A$8:$A$207,T115)&lt;&gt;1),AND(U115&lt;&gt;"",COUNTIF('沟通记录'!$A$8:$A$207,U115)&lt;&gt;1)),"检查编号或关联","正常"))</f>
        <v/>
      </c>
    </row>
    <row r="116" ht="34" customHeight="1">
      <c r="A116" s="32" t="n"/>
      <c r="B116" s="32" t="n"/>
      <c r="C116" s="34">
        <f>IF(B116="","",IF(COUNTIF('用胶项目'!$A$8:$A$207,B116)&lt;&gt;1,"编号缺失或重复",INDEX('用胶项目'!$B$8:$B$207,MATCH(B116,'用胶项目'!$A$8:$A$207,0))))</f>
        <v/>
      </c>
      <c r="D116" s="32" t="n"/>
      <c r="E116" s="10" t="n"/>
      <c r="F116" s="38" t="n"/>
      <c r="G116" s="10" t="n"/>
      <c r="H116" s="10" t="n"/>
      <c r="I116" s="10" t="n"/>
      <c r="J116" s="33" t="n"/>
      <c r="K116" s="32" t="n"/>
      <c r="L116" s="33" t="n"/>
      <c r="M116" s="32" t="n"/>
      <c r="N116" s="33" t="n"/>
      <c r="O116" s="10" t="n"/>
      <c r="P116" s="10" t="n"/>
      <c r="Q116" s="10" t="n"/>
      <c r="R116" s="10" t="n"/>
      <c r="S116" s="10" t="n"/>
      <c r="T116" s="32" t="n"/>
      <c r="U116" s="32" t="n"/>
      <c r="V116" s="16">
        <f>IF(A116="","",IF(OR(COUNTIF($A$8:$A$207,A116)&lt;&gt;1,COUNTIF('用胶项目'!$A$8:$A$207,B116)&lt;&gt;1,AND(D116&lt;&gt;"",COUNTIF('联系人'!$A$8:$A$207,D116)&lt;&gt;1),AND(M116&lt;&gt;"",COUNTIF('联系人'!$A$8:$A$207,M116)&lt;&gt;1),AND(T116&lt;&gt;"",COUNTIF('跟进待办'!$A$8:$A$207,T116)&lt;&gt;1),AND(U116&lt;&gt;"",COUNTIF('沟通记录'!$A$8:$A$207,U116)&lt;&gt;1)),"检查编号或关联","正常"))</f>
        <v/>
      </c>
    </row>
    <row r="117" ht="34" customHeight="1">
      <c r="A117" s="32" t="n"/>
      <c r="B117" s="32" t="n"/>
      <c r="C117" s="34">
        <f>IF(B117="","",IF(COUNTIF('用胶项目'!$A$8:$A$207,B117)&lt;&gt;1,"编号缺失或重复",INDEX('用胶项目'!$B$8:$B$207,MATCH(B117,'用胶项目'!$A$8:$A$207,0))))</f>
        <v/>
      </c>
      <c r="D117" s="32" t="n"/>
      <c r="E117" s="10" t="n"/>
      <c r="F117" s="38" t="n"/>
      <c r="G117" s="10" t="n"/>
      <c r="H117" s="10" t="n"/>
      <c r="I117" s="10" t="n"/>
      <c r="J117" s="33" t="n"/>
      <c r="K117" s="32" t="n"/>
      <c r="L117" s="33" t="n"/>
      <c r="M117" s="32" t="n"/>
      <c r="N117" s="33" t="n"/>
      <c r="O117" s="10" t="n"/>
      <c r="P117" s="10" t="n"/>
      <c r="Q117" s="10" t="n"/>
      <c r="R117" s="10" t="n"/>
      <c r="S117" s="10" t="n"/>
      <c r="T117" s="32" t="n"/>
      <c r="U117" s="32" t="n"/>
      <c r="V117" s="16">
        <f>IF(A117="","",IF(OR(COUNTIF($A$8:$A$207,A117)&lt;&gt;1,COUNTIF('用胶项目'!$A$8:$A$207,B117)&lt;&gt;1,AND(D117&lt;&gt;"",COUNTIF('联系人'!$A$8:$A$207,D117)&lt;&gt;1),AND(M117&lt;&gt;"",COUNTIF('联系人'!$A$8:$A$207,M117)&lt;&gt;1),AND(T117&lt;&gt;"",COUNTIF('跟进待办'!$A$8:$A$207,T117)&lt;&gt;1),AND(U117&lt;&gt;"",COUNTIF('沟通记录'!$A$8:$A$207,U117)&lt;&gt;1)),"检查编号或关联","正常"))</f>
        <v/>
      </c>
    </row>
    <row r="118" ht="34" customHeight="1">
      <c r="A118" s="32" t="n"/>
      <c r="B118" s="32" t="n"/>
      <c r="C118" s="34">
        <f>IF(B118="","",IF(COUNTIF('用胶项目'!$A$8:$A$207,B118)&lt;&gt;1,"编号缺失或重复",INDEX('用胶项目'!$B$8:$B$207,MATCH(B118,'用胶项目'!$A$8:$A$207,0))))</f>
        <v/>
      </c>
      <c r="D118" s="32" t="n"/>
      <c r="E118" s="10" t="n"/>
      <c r="F118" s="38" t="n"/>
      <c r="G118" s="10" t="n"/>
      <c r="H118" s="10" t="n"/>
      <c r="I118" s="10" t="n"/>
      <c r="J118" s="33" t="n"/>
      <c r="K118" s="32" t="n"/>
      <c r="L118" s="33" t="n"/>
      <c r="M118" s="32" t="n"/>
      <c r="N118" s="33" t="n"/>
      <c r="O118" s="10" t="n"/>
      <c r="P118" s="10" t="n"/>
      <c r="Q118" s="10" t="n"/>
      <c r="R118" s="10" t="n"/>
      <c r="S118" s="10" t="n"/>
      <c r="T118" s="32" t="n"/>
      <c r="U118" s="32" t="n"/>
      <c r="V118" s="16">
        <f>IF(A118="","",IF(OR(COUNTIF($A$8:$A$207,A118)&lt;&gt;1,COUNTIF('用胶项目'!$A$8:$A$207,B118)&lt;&gt;1,AND(D118&lt;&gt;"",COUNTIF('联系人'!$A$8:$A$207,D118)&lt;&gt;1),AND(M118&lt;&gt;"",COUNTIF('联系人'!$A$8:$A$207,M118)&lt;&gt;1),AND(T118&lt;&gt;"",COUNTIF('跟进待办'!$A$8:$A$207,T118)&lt;&gt;1),AND(U118&lt;&gt;"",COUNTIF('沟通记录'!$A$8:$A$207,U118)&lt;&gt;1)),"检查编号或关联","正常"))</f>
        <v/>
      </c>
    </row>
    <row r="119" ht="34" customHeight="1">
      <c r="A119" s="32" t="n"/>
      <c r="B119" s="32" t="n"/>
      <c r="C119" s="34">
        <f>IF(B119="","",IF(COUNTIF('用胶项目'!$A$8:$A$207,B119)&lt;&gt;1,"编号缺失或重复",INDEX('用胶项目'!$B$8:$B$207,MATCH(B119,'用胶项目'!$A$8:$A$207,0))))</f>
        <v/>
      </c>
      <c r="D119" s="32" t="n"/>
      <c r="E119" s="10" t="n"/>
      <c r="F119" s="38" t="n"/>
      <c r="G119" s="10" t="n"/>
      <c r="H119" s="10" t="n"/>
      <c r="I119" s="10" t="n"/>
      <c r="J119" s="33" t="n"/>
      <c r="K119" s="32" t="n"/>
      <c r="L119" s="33" t="n"/>
      <c r="M119" s="32" t="n"/>
      <c r="N119" s="33" t="n"/>
      <c r="O119" s="10" t="n"/>
      <c r="P119" s="10" t="n"/>
      <c r="Q119" s="10" t="n"/>
      <c r="R119" s="10" t="n"/>
      <c r="S119" s="10" t="n"/>
      <c r="T119" s="32" t="n"/>
      <c r="U119" s="32" t="n"/>
      <c r="V119" s="16">
        <f>IF(A119="","",IF(OR(COUNTIF($A$8:$A$207,A119)&lt;&gt;1,COUNTIF('用胶项目'!$A$8:$A$207,B119)&lt;&gt;1,AND(D119&lt;&gt;"",COUNTIF('联系人'!$A$8:$A$207,D119)&lt;&gt;1),AND(M119&lt;&gt;"",COUNTIF('联系人'!$A$8:$A$207,M119)&lt;&gt;1),AND(T119&lt;&gt;"",COUNTIF('跟进待办'!$A$8:$A$207,T119)&lt;&gt;1),AND(U119&lt;&gt;"",COUNTIF('沟通记录'!$A$8:$A$207,U119)&lt;&gt;1)),"检查编号或关联","正常"))</f>
        <v/>
      </c>
    </row>
    <row r="120" ht="34" customHeight="1">
      <c r="A120" s="32" t="n"/>
      <c r="B120" s="32" t="n"/>
      <c r="C120" s="34">
        <f>IF(B120="","",IF(COUNTIF('用胶项目'!$A$8:$A$207,B120)&lt;&gt;1,"编号缺失或重复",INDEX('用胶项目'!$B$8:$B$207,MATCH(B120,'用胶项目'!$A$8:$A$207,0))))</f>
        <v/>
      </c>
      <c r="D120" s="32" t="n"/>
      <c r="E120" s="10" t="n"/>
      <c r="F120" s="38" t="n"/>
      <c r="G120" s="10" t="n"/>
      <c r="H120" s="10" t="n"/>
      <c r="I120" s="10" t="n"/>
      <c r="J120" s="33" t="n"/>
      <c r="K120" s="32" t="n"/>
      <c r="L120" s="33" t="n"/>
      <c r="M120" s="32" t="n"/>
      <c r="N120" s="33" t="n"/>
      <c r="O120" s="10" t="n"/>
      <c r="P120" s="10" t="n"/>
      <c r="Q120" s="10" t="n"/>
      <c r="R120" s="10" t="n"/>
      <c r="S120" s="10" t="n"/>
      <c r="T120" s="32" t="n"/>
      <c r="U120" s="32" t="n"/>
      <c r="V120" s="16">
        <f>IF(A120="","",IF(OR(COUNTIF($A$8:$A$207,A120)&lt;&gt;1,COUNTIF('用胶项目'!$A$8:$A$207,B120)&lt;&gt;1,AND(D120&lt;&gt;"",COUNTIF('联系人'!$A$8:$A$207,D120)&lt;&gt;1),AND(M120&lt;&gt;"",COUNTIF('联系人'!$A$8:$A$207,M120)&lt;&gt;1),AND(T120&lt;&gt;"",COUNTIF('跟进待办'!$A$8:$A$207,T120)&lt;&gt;1),AND(U120&lt;&gt;"",COUNTIF('沟通记录'!$A$8:$A$207,U120)&lt;&gt;1)),"检查编号或关联","正常"))</f>
        <v/>
      </c>
    </row>
    <row r="121" ht="34" customHeight="1">
      <c r="A121" s="32" t="n"/>
      <c r="B121" s="32" t="n"/>
      <c r="C121" s="34">
        <f>IF(B121="","",IF(COUNTIF('用胶项目'!$A$8:$A$207,B121)&lt;&gt;1,"编号缺失或重复",INDEX('用胶项目'!$B$8:$B$207,MATCH(B121,'用胶项目'!$A$8:$A$207,0))))</f>
        <v/>
      </c>
      <c r="D121" s="32" t="n"/>
      <c r="E121" s="10" t="n"/>
      <c r="F121" s="38" t="n"/>
      <c r="G121" s="10" t="n"/>
      <c r="H121" s="10" t="n"/>
      <c r="I121" s="10" t="n"/>
      <c r="J121" s="33" t="n"/>
      <c r="K121" s="32" t="n"/>
      <c r="L121" s="33" t="n"/>
      <c r="M121" s="32" t="n"/>
      <c r="N121" s="33" t="n"/>
      <c r="O121" s="10" t="n"/>
      <c r="P121" s="10" t="n"/>
      <c r="Q121" s="10" t="n"/>
      <c r="R121" s="10" t="n"/>
      <c r="S121" s="10" t="n"/>
      <c r="T121" s="32" t="n"/>
      <c r="U121" s="32" t="n"/>
      <c r="V121" s="16">
        <f>IF(A121="","",IF(OR(COUNTIF($A$8:$A$207,A121)&lt;&gt;1,COUNTIF('用胶项目'!$A$8:$A$207,B121)&lt;&gt;1,AND(D121&lt;&gt;"",COUNTIF('联系人'!$A$8:$A$207,D121)&lt;&gt;1),AND(M121&lt;&gt;"",COUNTIF('联系人'!$A$8:$A$207,M121)&lt;&gt;1),AND(T121&lt;&gt;"",COUNTIF('跟进待办'!$A$8:$A$207,T121)&lt;&gt;1),AND(U121&lt;&gt;"",COUNTIF('沟通记录'!$A$8:$A$207,U121)&lt;&gt;1)),"检查编号或关联","正常"))</f>
        <v/>
      </c>
    </row>
    <row r="122" ht="34" customHeight="1">
      <c r="A122" s="32" t="n"/>
      <c r="B122" s="32" t="n"/>
      <c r="C122" s="34">
        <f>IF(B122="","",IF(COUNTIF('用胶项目'!$A$8:$A$207,B122)&lt;&gt;1,"编号缺失或重复",INDEX('用胶项目'!$B$8:$B$207,MATCH(B122,'用胶项目'!$A$8:$A$207,0))))</f>
        <v/>
      </c>
      <c r="D122" s="32" t="n"/>
      <c r="E122" s="10" t="n"/>
      <c r="F122" s="38" t="n"/>
      <c r="G122" s="10" t="n"/>
      <c r="H122" s="10" t="n"/>
      <c r="I122" s="10" t="n"/>
      <c r="J122" s="33" t="n"/>
      <c r="K122" s="32" t="n"/>
      <c r="L122" s="33" t="n"/>
      <c r="M122" s="32" t="n"/>
      <c r="N122" s="33" t="n"/>
      <c r="O122" s="10" t="n"/>
      <c r="P122" s="10" t="n"/>
      <c r="Q122" s="10" t="n"/>
      <c r="R122" s="10" t="n"/>
      <c r="S122" s="10" t="n"/>
      <c r="T122" s="32" t="n"/>
      <c r="U122" s="32" t="n"/>
      <c r="V122" s="16">
        <f>IF(A122="","",IF(OR(COUNTIF($A$8:$A$207,A122)&lt;&gt;1,COUNTIF('用胶项目'!$A$8:$A$207,B122)&lt;&gt;1,AND(D122&lt;&gt;"",COUNTIF('联系人'!$A$8:$A$207,D122)&lt;&gt;1),AND(M122&lt;&gt;"",COUNTIF('联系人'!$A$8:$A$207,M122)&lt;&gt;1),AND(T122&lt;&gt;"",COUNTIF('跟进待办'!$A$8:$A$207,T122)&lt;&gt;1),AND(U122&lt;&gt;"",COUNTIF('沟通记录'!$A$8:$A$207,U122)&lt;&gt;1)),"检查编号或关联","正常"))</f>
        <v/>
      </c>
    </row>
    <row r="123" ht="34" customHeight="1">
      <c r="A123" s="32" t="n"/>
      <c r="B123" s="32" t="n"/>
      <c r="C123" s="34">
        <f>IF(B123="","",IF(COUNTIF('用胶项目'!$A$8:$A$207,B123)&lt;&gt;1,"编号缺失或重复",INDEX('用胶项目'!$B$8:$B$207,MATCH(B123,'用胶项目'!$A$8:$A$207,0))))</f>
        <v/>
      </c>
      <c r="D123" s="32" t="n"/>
      <c r="E123" s="10" t="n"/>
      <c r="F123" s="38" t="n"/>
      <c r="G123" s="10" t="n"/>
      <c r="H123" s="10" t="n"/>
      <c r="I123" s="10" t="n"/>
      <c r="J123" s="33" t="n"/>
      <c r="K123" s="32" t="n"/>
      <c r="L123" s="33" t="n"/>
      <c r="M123" s="32" t="n"/>
      <c r="N123" s="33" t="n"/>
      <c r="O123" s="10" t="n"/>
      <c r="P123" s="10" t="n"/>
      <c r="Q123" s="10" t="n"/>
      <c r="R123" s="10" t="n"/>
      <c r="S123" s="10" t="n"/>
      <c r="T123" s="32" t="n"/>
      <c r="U123" s="32" t="n"/>
      <c r="V123" s="16">
        <f>IF(A123="","",IF(OR(COUNTIF($A$8:$A$207,A123)&lt;&gt;1,COUNTIF('用胶项目'!$A$8:$A$207,B123)&lt;&gt;1,AND(D123&lt;&gt;"",COUNTIF('联系人'!$A$8:$A$207,D123)&lt;&gt;1),AND(M123&lt;&gt;"",COUNTIF('联系人'!$A$8:$A$207,M123)&lt;&gt;1),AND(T123&lt;&gt;"",COUNTIF('跟进待办'!$A$8:$A$207,T123)&lt;&gt;1),AND(U123&lt;&gt;"",COUNTIF('沟通记录'!$A$8:$A$207,U123)&lt;&gt;1)),"检查编号或关联","正常"))</f>
        <v/>
      </c>
    </row>
    <row r="124" ht="34" customHeight="1">
      <c r="A124" s="32" t="n"/>
      <c r="B124" s="32" t="n"/>
      <c r="C124" s="34">
        <f>IF(B124="","",IF(COUNTIF('用胶项目'!$A$8:$A$207,B124)&lt;&gt;1,"编号缺失或重复",INDEX('用胶项目'!$B$8:$B$207,MATCH(B124,'用胶项目'!$A$8:$A$207,0))))</f>
        <v/>
      </c>
      <c r="D124" s="32" t="n"/>
      <c r="E124" s="10" t="n"/>
      <c r="F124" s="38" t="n"/>
      <c r="G124" s="10" t="n"/>
      <c r="H124" s="10" t="n"/>
      <c r="I124" s="10" t="n"/>
      <c r="J124" s="33" t="n"/>
      <c r="K124" s="32" t="n"/>
      <c r="L124" s="33" t="n"/>
      <c r="M124" s="32" t="n"/>
      <c r="N124" s="33" t="n"/>
      <c r="O124" s="10" t="n"/>
      <c r="P124" s="10" t="n"/>
      <c r="Q124" s="10" t="n"/>
      <c r="R124" s="10" t="n"/>
      <c r="S124" s="10" t="n"/>
      <c r="T124" s="32" t="n"/>
      <c r="U124" s="32" t="n"/>
      <c r="V124" s="16">
        <f>IF(A124="","",IF(OR(COUNTIF($A$8:$A$207,A124)&lt;&gt;1,COUNTIF('用胶项目'!$A$8:$A$207,B124)&lt;&gt;1,AND(D124&lt;&gt;"",COUNTIF('联系人'!$A$8:$A$207,D124)&lt;&gt;1),AND(M124&lt;&gt;"",COUNTIF('联系人'!$A$8:$A$207,M124)&lt;&gt;1),AND(T124&lt;&gt;"",COUNTIF('跟进待办'!$A$8:$A$207,T124)&lt;&gt;1),AND(U124&lt;&gt;"",COUNTIF('沟通记录'!$A$8:$A$207,U124)&lt;&gt;1)),"检查编号或关联","正常"))</f>
        <v/>
      </c>
    </row>
    <row r="125" ht="34" customHeight="1">
      <c r="A125" s="32" t="n"/>
      <c r="B125" s="32" t="n"/>
      <c r="C125" s="34">
        <f>IF(B125="","",IF(COUNTIF('用胶项目'!$A$8:$A$207,B125)&lt;&gt;1,"编号缺失或重复",INDEX('用胶项目'!$B$8:$B$207,MATCH(B125,'用胶项目'!$A$8:$A$207,0))))</f>
        <v/>
      </c>
      <c r="D125" s="32" t="n"/>
      <c r="E125" s="10" t="n"/>
      <c r="F125" s="38" t="n"/>
      <c r="G125" s="10" t="n"/>
      <c r="H125" s="10" t="n"/>
      <c r="I125" s="10" t="n"/>
      <c r="J125" s="33" t="n"/>
      <c r="K125" s="32" t="n"/>
      <c r="L125" s="33" t="n"/>
      <c r="M125" s="32" t="n"/>
      <c r="N125" s="33" t="n"/>
      <c r="O125" s="10" t="n"/>
      <c r="P125" s="10" t="n"/>
      <c r="Q125" s="10" t="n"/>
      <c r="R125" s="10" t="n"/>
      <c r="S125" s="10" t="n"/>
      <c r="T125" s="32" t="n"/>
      <c r="U125" s="32" t="n"/>
      <c r="V125" s="16">
        <f>IF(A125="","",IF(OR(COUNTIF($A$8:$A$207,A125)&lt;&gt;1,COUNTIF('用胶项目'!$A$8:$A$207,B125)&lt;&gt;1,AND(D125&lt;&gt;"",COUNTIF('联系人'!$A$8:$A$207,D125)&lt;&gt;1),AND(M125&lt;&gt;"",COUNTIF('联系人'!$A$8:$A$207,M125)&lt;&gt;1),AND(T125&lt;&gt;"",COUNTIF('跟进待办'!$A$8:$A$207,T125)&lt;&gt;1),AND(U125&lt;&gt;"",COUNTIF('沟通记录'!$A$8:$A$207,U125)&lt;&gt;1)),"检查编号或关联","正常"))</f>
        <v/>
      </c>
    </row>
    <row r="126" ht="34" customHeight="1">
      <c r="A126" s="32" t="n"/>
      <c r="B126" s="32" t="n"/>
      <c r="C126" s="34">
        <f>IF(B126="","",IF(COUNTIF('用胶项目'!$A$8:$A$207,B126)&lt;&gt;1,"编号缺失或重复",INDEX('用胶项目'!$B$8:$B$207,MATCH(B126,'用胶项目'!$A$8:$A$207,0))))</f>
        <v/>
      </c>
      <c r="D126" s="32" t="n"/>
      <c r="E126" s="10" t="n"/>
      <c r="F126" s="38" t="n"/>
      <c r="G126" s="10" t="n"/>
      <c r="H126" s="10" t="n"/>
      <c r="I126" s="10" t="n"/>
      <c r="J126" s="33" t="n"/>
      <c r="K126" s="32" t="n"/>
      <c r="L126" s="33" t="n"/>
      <c r="M126" s="32" t="n"/>
      <c r="N126" s="33" t="n"/>
      <c r="O126" s="10" t="n"/>
      <c r="P126" s="10" t="n"/>
      <c r="Q126" s="10" t="n"/>
      <c r="R126" s="10" t="n"/>
      <c r="S126" s="10" t="n"/>
      <c r="T126" s="32" t="n"/>
      <c r="U126" s="32" t="n"/>
      <c r="V126" s="16">
        <f>IF(A126="","",IF(OR(COUNTIF($A$8:$A$207,A126)&lt;&gt;1,COUNTIF('用胶项目'!$A$8:$A$207,B126)&lt;&gt;1,AND(D126&lt;&gt;"",COUNTIF('联系人'!$A$8:$A$207,D126)&lt;&gt;1),AND(M126&lt;&gt;"",COUNTIF('联系人'!$A$8:$A$207,M126)&lt;&gt;1),AND(T126&lt;&gt;"",COUNTIF('跟进待办'!$A$8:$A$207,T126)&lt;&gt;1),AND(U126&lt;&gt;"",COUNTIF('沟通记录'!$A$8:$A$207,U126)&lt;&gt;1)),"检查编号或关联","正常"))</f>
        <v/>
      </c>
    </row>
    <row r="127" ht="34" customHeight="1">
      <c r="A127" s="32" t="n"/>
      <c r="B127" s="32" t="n"/>
      <c r="C127" s="34">
        <f>IF(B127="","",IF(COUNTIF('用胶项目'!$A$8:$A$207,B127)&lt;&gt;1,"编号缺失或重复",INDEX('用胶项目'!$B$8:$B$207,MATCH(B127,'用胶项目'!$A$8:$A$207,0))))</f>
        <v/>
      </c>
      <c r="D127" s="32" t="n"/>
      <c r="E127" s="10" t="n"/>
      <c r="F127" s="38" t="n"/>
      <c r="G127" s="10" t="n"/>
      <c r="H127" s="10" t="n"/>
      <c r="I127" s="10" t="n"/>
      <c r="J127" s="33" t="n"/>
      <c r="K127" s="32" t="n"/>
      <c r="L127" s="33" t="n"/>
      <c r="M127" s="32" t="n"/>
      <c r="N127" s="33" t="n"/>
      <c r="O127" s="10" t="n"/>
      <c r="P127" s="10" t="n"/>
      <c r="Q127" s="10" t="n"/>
      <c r="R127" s="10" t="n"/>
      <c r="S127" s="10" t="n"/>
      <c r="T127" s="32" t="n"/>
      <c r="U127" s="32" t="n"/>
      <c r="V127" s="16">
        <f>IF(A127="","",IF(OR(COUNTIF($A$8:$A$207,A127)&lt;&gt;1,COUNTIF('用胶项目'!$A$8:$A$207,B127)&lt;&gt;1,AND(D127&lt;&gt;"",COUNTIF('联系人'!$A$8:$A$207,D127)&lt;&gt;1),AND(M127&lt;&gt;"",COUNTIF('联系人'!$A$8:$A$207,M127)&lt;&gt;1),AND(T127&lt;&gt;"",COUNTIF('跟进待办'!$A$8:$A$207,T127)&lt;&gt;1),AND(U127&lt;&gt;"",COUNTIF('沟通记录'!$A$8:$A$207,U127)&lt;&gt;1)),"检查编号或关联","正常"))</f>
        <v/>
      </c>
    </row>
    <row r="128" ht="34" customHeight="1">
      <c r="A128" s="32" t="n"/>
      <c r="B128" s="32" t="n"/>
      <c r="C128" s="34">
        <f>IF(B128="","",IF(COUNTIF('用胶项目'!$A$8:$A$207,B128)&lt;&gt;1,"编号缺失或重复",INDEX('用胶项目'!$B$8:$B$207,MATCH(B128,'用胶项目'!$A$8:$A$207,0))))</f>
        <v/>
      </c>
      <c r="D128" s="32" t="n"/>
      <c r="E128" s="10" t="n"/>
      <c r="F128" s="38" t="n"/>
      <c r="G128" s="10" t="n"/>
      <c r="H128" s="10" t="n"/>
      <c r="I128" s="10" t="n"/>
      <c r="J128" s="33" t="n"/>
      <c r="K128" s="32" t="n"/>
      <c r="L128" s="33" t="n"/>
      <c r="M128" s="32" t="n"/>
      <c r="N128" s="33" t="n"/>
      <c r="O128" s="10" t="n"/>
      <c r="P128" s="10" t="n"/>
      <c r="Q128" s="10" t="n"/>
      <c r="R128" s="10" t="n"/>
      <c r="S128" s="10" t="n"/>
      <c r="T128" s="32" t="n"/>
      <c r="U128" s="32" t="n"/>
      <c r="V128" s="16">
        <f>IF(A128="","",IF(OR(COUNTIF($A$8:$A$207,A128)&lt;&gt;1,COUNTIF('用胶项目'!$A$8:$A$207,B128)&lt;&gt;1,AND(D128&lt;&gt;"",COUNTIF('联系人'!$A$8:$A$207,D128)&lt;&gt;1),AND(M128&lt;&gt;"",COUNTIF('联系人'!$A$8:$A$207,M128)&lt;&gt;1),AND(T128&lt;&gt;"",COUNTIF('跟进待办'!$A$8:$A$207,T128)&lt;&gt;1),AND(U128&lt;&gt;"",COUNTIF('沟通记录'!$A$8:$A$207,U128)&lt;&gt;1)),"检查编号或关联","正常"))</f>
        <v/>
      </c>
    </row>
    <row r="129" ht="34" customHeight="1">
      <c r="A129" s="32" t="n"/>
      <c r="B129" s="32" t="n"/>
      <c r="C129" s="34">
        <f>IF(B129="","",IF(COUNTIF('用胶项目'!$A$8:$A$207,B129)&lt;&gt;1,"编号缺失或重复",INDEX('用胶项目'!$B$8:$B$207,MATCH(B129,'用胶项目'!$A$8:$A$207,0))))</f>
        <v/>
      </c>
      <c r="D129" s="32" t="n"/>
      <c r="E129" s="10" t="n"/>
      <c r="F129" s="38" t="n"/>
      <c r="G129" s="10" t="n"/>
      <c r="H129" s="10" t="n"/>
      <c r="I129" s="10" t="n"/>
      <c r="J129" s="33" t="n"/>
      <c r="K129" s="32" t="n"/>
      <c r="L129" s="33" t="n"/>
      <c r="M129" s="32" t="n"/>
      <c r="N129" s="33" t="n"/>
      <c r="O129" s="10" t="n"/>
      <c r="P129" s="10" t="n"/>
      <c r="Q129" s="10" t="n"/>
      <c r="R129" s="10" t="n"/>
      <c r="S129" s="10" t="n"/>
      <c r="T129" s="32" t="n"/>
      <c r="U129" s="32" t="n"/>
      <c r="V129" s="16">
        <f>IF(A129="","",IF(OR(COUNTIF($A$8:$A$207,A129)&lt;&gt;1,COUNTIF('用胶项目'!$A$8:$A$207,B129)&lt;&gt;1,AND(D129&lt;&gt;"",COUNTIF('联系人'!$A$8:$A$207,D129)&lt;&gt;1),AND(M129&lt;&gt;"",COUNTIF('联系人'!$A$8:$A$207,M129)&lt;&gt;1),AND(T129&lt;&gt;"",COUNTIF('跟进待办'!$A$8:$A$207,T129)&lt;&gt;1),AND(U129&lt;&gt;"",COUNTIF('沟通记录'!$A$8:$A$207,U129)&lt;&gt;1)),"检查编号或关联","正常"))</f>
        <v/>
      </c>
    </row>
    <row r="130" ht="34" customHeight="1">
      <c r="A130" s="32" t="n"/>
      <c r="B130" s="32" t="n"/>
      <c r="C130" s="34">
        <f>IF(B130="","",IF(COUNTIF('用胶项目'!$A$8:$A$207,B130)&lt;&gt;1,"编号缺失或重复",INDEX('用胶项目'!$B$8:$B$207,MATCH(B130,'用胶项目'!$A$8:$A$207,0))))</f>
        <v/>
      </c>
      <c r="D130" s="32" t="n"/>
      <c r="E130" s="10" t="n"/>
      <c r="F130" s="38" t="n"/>
      <c r="G130" s="10" t="n"/>
      <c r="H130" s="10" t="n"/>
      <c r="I130" s="10" t="n"/>
      <c r="J130" s="33" t="n"/>
      <c r="K130" s="32" t="n"/>
      <c r="L130" s="33" t="n"/>
      <c r="M130" s="32" t="n"/>
      <c r="N130" s="33" t="n"/>
      <c r="O130" s="10" t="n"/>
      <c r="P130" s="10" t="n"/>
      <c r="Q130" s="10" t="n"/>
      <c r="R130" s="10" t="n"/>
      <c r="S130" s="10" t="n"/>
      <c r="T130" s="32" t="n"/>
      <c r="U130" s="32" t="n"/>
      <c r="V130" s="16">
        <f>IF(A130="","",IF(OR(COUNTIF($A$8:$A$207,A130)&lt;&gt;1,COUNTIF('用胶项目'!$A$8:$A$207,B130)&lt;&gt;1,AND(D130&lt;&gt;"",COUNTIF('联系人'!$A$8:$A$207,D130)&lt;&gt;1),AND(M130&lt;&gt;"",COUNTIF('联系人'!$A$8:$A$207,M130)&lt;&gt;1),AND(T130&lt;&gt;"",COUNTIF('跟进待办'!$A$8:$A$207,T130)&lt;&gt;1),AND(U130&lt;&gt;"",COUNTIF('沟通记录'!$A$8:$A$207,U130)&lt;&gt;1)),"检查编号或关联","正常"))</f>
        <v/>
      </c>
    </row>
    <row r="131" ht="34" customHeight="1">
      <c r="A131" s="32" t="n"/>
      <c r="B131" s="32" t="n"/>
      <c r="C131" s="34">
        <f>IF(B131="","",IF(COUNTIF('用胶项目'!$A$8:$A$207,B131)&lt;&gt;1,"编号缺失或重复",INDEX('用胶项目'!$B$8:$B$207,MATCH(B131,'用胶项目'!$A$8:$A$207,0))))</f>
        <v/>
      </c>
      <c r="D131" s="32" t="n"/>
      <c r="E131" s="10" t="n"/>
      <c r="F131" s="38" t="n"/>
      <c r="G131" s="10" t="n"/>
      <c r="H131" s="10" t="n"/>
      <c r="I131" s="10" t="n"/>
      <c r="J131" s="33" t="n"/>
      <c r="K131" s="32" t="n"/>
      <c r="L131" s="33" t="n"/>
      <c r="M131" s="32" t="n"/>
      <c r="N131" s="33" t="n"/>
      <c r="O131" s="10" t="n"/>
      <c r="P131" s="10" t="n"/>
      <c r="Q131" s="10" t="n"/>
      <c r="R131" s="10" t="n"/>
      <c r="S131" s="10" t="n"/>
      <c r="T131" s="32" t="n"/>
      <c r="U131" s="32" t="n"/>
      <c r="V131" s="16">
        <f>IF(A131="","",IF(OR(COUNTIF($A$8:$A$207,A131)&lt;&gt;1,COUNTIF('用胶项目'!$A$8:$A$207,B131)&lt;&gt;1,AND(D131&lt;&gt;"",COUNTIF('联系人'!$A$8:$A$207,D131)&lt;&gt;1),AND(M131&lt;&gt;"",COUNTIF('联系人'!$A$8:$A$207,M131)&lt;&gt;1),AND(T131&lt;&gt;"",COUNTIF('跟进待办'!$A$8:$A$207,T131)&lt;&gt;1),AND(U131&lt;&gt;"",COUNTIF('沟通记录'!$A$8:$A$207,U131)&lt;&gt;1)),"检查编号或关联","正常"))</f>
        <v/>
      </c>
    </row>
    <row r="132" ht="34" customHeight="1">
      <c r="A132" s="32" t="n"/>
      <c r="B132" s="32" t="n"/>
      <c r="C132" s="34">
        <f>IF(B132="","",IF(COUNTIF('用胶项目'!$A$8:$A$207,B132)&lt;&gt;1,"编号缺失或重复",INDEX('用胶项目'!$B$8:$B$207,MATCH(B132,'用胶项目'!$A$8:$A$207,0))))</f>
        <v/>
      </c>
      <c r="D132" s="32" t="n"/>
      <c r="E132" s="10" t="n"/>
      <c r="F132" s="38" t="n"/>
      <c r="G132" s="10" t="n"/>
      <c r="H132" s="10" t="n"/>
      <c r="I132" s="10" t="n"/>
      <c r="J132" s="33" t="n"/>
      <c r="K132" s="32" t="n"/>
      <c r="L132" s="33" t="n"/>
      <c r="M132" s="32" t="n"/>
      <c r="N132" s="33" t="n"/>
      <c r="O132" s="10" t="n"/>
      <c r="P132" s="10" t="n"/>
      <c r="Q132" s="10" t="n"/>
      <c r="R132" s="10" t="n"/>
      <c r="S132" s="10" t="n"/>
      <c r="T132" s="32" t="n"/>
      <c r="U132" s="32" t="n"/>
      <c r="V132" s="16">
        <f>IF(A132="","",IF(OR(COUNTIF($A$8:$A$207,A132)&lt;&gt;1,COUNTIF('用胶项目'!$A$8:$A$207,B132)&lt;&gt;1,AND(D132&lt;&gt;"",COUNTIF('联系人'!$A$8:$A$207,D132)&lt;&gt;1),AND(M132&lt;&gt;"",COUNTIF('联系人'!$A$8:$A$207,M132)&lt;&gt;1),AND(T132&lt;&gt;"",COUNTIF('跟进待办'!$A$8:$A$207,T132)&lt;&gt;1),AND(U132&lt;&gt;"",COUNTIF('沟通记录'!$A$8:$A$207,U132)&lt;&gt;1)),"检查编号或关联","正常"))</f>
        <v/>
      </c>
    </row>
    <row r="133" ht="34" customHeight="1">
      <c r="A133" s="32" t="n"/>
      <c r="B133" s="32" t="n"/>
      <c r="C133" s="34">
        <f>IF(B133="","",IF(COUNTIF('用胶项目'!$A$8:$A$207,B133)&lt;&gt;1,"编号缺失或重复",INDEX('用胶项目'!$B$8:$B$207,MATCH(B133,'用胶项目'!$A$8:$A$207,0))))</f>
        <v/>
      </c>
      <c r="D133" s="32" t="n"/>
      <c r="E133" s="10" t="n"/>
      <c r="F133" s="38" t="n"/>
      <c r="G133" s="10" t="n"/>
      <c r="H133" s="10" t="n"/>
      <c r="I133" s="10" t="n"/>
      <c r="J133" s="33" t="n"/>
      <c r="K133" s="32" t="n"/>
      <c r="L133" s="33" t="n"/>
      <c r="M133" s="32" t="n"/>
      <c r="N133" s="33" t="n"/>
      <c r="O133" s="10" t="n"/>
      <c r="P133" s="10" t="n"/>
      <c r="Q133" s="10" t="n"/>
      <c r="R133" s="10" t="n"/>
      <c r="S133" s="10" t="n"/>
      <c r="T133" s="32" t="n"/>
      <c r="U133" s="32" t="n"/>
      <c r="V133" s="16">
        <f>IF(A133="","",IF(OR(COUNTIF($A$8:$A$207,A133)&lt;&gt;1,COUNTIF('用胶项目'!$A$8:$A$207,B133)&lt;&gt;1,AND(D133&lt;&gt;"",COUNTIF('联系人'!$A$8:$A$207,D133)&lt;&gt;1),AND(M133&lt;&gt;"",COUNTIF('联系人'!$A$8:$A$207,M133)&lt;&gt;1),AND(T133&lt;&gt;"",COUNTIF('跟进待办'!$A$8:$A$207,T133)&lt;&gt;1),AND(U133&lt;&gt;"",COUNTIF('沟通记录'!$A$8:$A$207,U133)&lt;&gt;1)),"检查编号或关联","正常"))</f>
        <v/>
      </c>
    </row>
    <row r="134" ht="34" customHeight="1">
      <c r="A134" s="32" t="n"/>
      <c r="B134" s="32" t="n"/>
      <c r="C134" s="34">
        <f>IF(B134="","",IF(COUNTIF('用胶项目'!$A$8:$A$207,B134)&lt;&gt;1,"编号缺失或重复",INDEX('用胶项目'!$B$8:$B$207,MATCH(B134,'用胶项目'!$A$8:$A$207,0))))</f>
        <v/>
      </c>
      <c r="D134" s="32" t="n"/>
      <c r="E134" s="10" t="n"/>
      <c r="F134" s="38" t="n"/>
      <c r="G134" s="10" t="n"/>
      <c r="H134" s="10" t="n"/>
      <c r="I134" s="10" t="n"/>
      <c r="J134" s="33" t="n"/>
      <c r="K134" s="32" t="n"/>
      <c r="L134" s="33" t="n"/>
      <c r="M134" s="32" t="n"/>
      <c r="N134" s="33" t="n"/>
      <c r="O134" s="10" t="n"/>
      <c r="P134" s="10" t="n"/>
      <c r="Q134" s="10" t="n"/>
      <c r="R134" s="10" t="n"/>
      <c r="S134" s="10" t="n"/>
      <c r="T134" s="32" t="n"/>
      <c r="U134" s="32" t="n"/>
      <c r="V134" s="16">
        <f>IF(A134="","",IF(OR(COUNTIF($A$8:$A$207,A134)&lt;&gt;1,COUNTIF('用胶项目'!$A$8:$A$207,B134)&lt;&gt;1,AND(D134&lt;&gt;"",COUNTIF('联系人'!$A$8:$A$207,D134)&lt;&gt;1),AND(M134&lt;&gt;"",COUNTIF('联系人'!$A$8:$A$207,M134)&lt;&gt;1),AND(T134&lt;&gt;"",COUNTIF('跟进待办'!$A$8:$A$207,T134)&lt;&gt;1),AND(U134&lt;&gt;"",COUNTIF('沟通记录'!$A$8:$A$207,U134)&lt;&gt;1)),"检查编号或关联","正常"))</f>
        <v/>
      </c>
    </row>
    <row r="135" ht="34" customHeight="1">
      <c r="A135" s="32" t="n"/>
      <c r="B135" s="32" t="n"/>
      <c r="C135" s="34">
        <f>IF(B135="","",IF(COUNTIF('用胶项目'!$A$8:$A$207,B135)&lt;&gt;1,"编号缺失或重复",INDEX('用胶项目'!$B$8:$B$207,MATCH(B135,'用胶项目'!$A$8:$A$207,0))))</f>
        <v/>
      </c>
      <c r="D135" s="32" t="n"/>
      <c r="E135" s="10" t="n"/>
      <c r="F135" s="38" t="n"/>
      <c r="G135" s="10" t="n"/>
      <c r="H135" s="10" t="n"/>
      <c r="I135" s="10" t="n"/>
      <c r="J135" s="33" t="n"/>
      <c r="K135" s="32" t="n"/>
      <c r="L135" s="33" t="n"/>
      <c r="M135" s="32" t="n"/>
      <c r="N135" s="33" t="n"/>
      <c r="O135" s="10" t="n"/>
      <c r="P135" s="10" t="n"/>
      <c r="Q135" s="10" t="n"/>
      <c r="R135" s="10" t="n"/>
      <c r="S135" s="10" t="n"/>
      <c r="T135" s="32" t="n"/>
      <c r="U135" s="32" t="n"/>
      <c r="V135" s="16">
        <f>IF(A135="","",IF(OR(COUNTIF($A$8:$A$207,A135)&lt;&gt;1,COUNTIF('用胶项目'!$A$8:$A$207,B135)&lt;&gt;1,AND(D135&lt;&gt;"",COUNTIF('联系人'!$A$8:$A$207,D135)&lt;&gt;1),AND(M135&lt;&gt;"",COUNTIF('联系人'!$A$8:$A$207,M135)&lt;&gt;1),AND(T135&lt;&gt;"",COUNTIF('跟进待办'!$A$8:$A$207,T135)&lt;&gt;1),AND(U135&lt;&gt;"",COUNTIF('沟通记录'!$A$8:$A$207,U135)&lt;&gt;1)),"检查编号或关联","正常"))</f>
        <v/>
      </c>
    </row>
    <row r="136" ht="34" customHeight="1">
      <c r="A136" s="32" t="n"/>
      <c r="B136" s="32" t="n"/>
      <c r="C136" s="34">
        <f>IF(B136="","",IF(COUNTIF('用胶项目'!$A$8:$A$207,B136)&lt;&gt;1,"编号缺失或重复",INDEX('用胶项目'!$B$8:$B$207,MATCH(B136,'用胶项目'!$A$8:$A$207,0))))</f>
        <v/>
      </c>
      <c r="D136" s="32" t="n"/>
      <c r="E136" s="10" t="n"/>
      <c r="F136" s="38" t="n"/>
      <c r="G136" s="10" t="n"/>
      <c r="H136" s="10" t="n"/>
      <c r="I136" s="10" t="n"/>
      <c r="J136" s="33" t="n"/>
      <c r="K136" s="32" t="n"/>
      <c r="L136" s="33" t="n"/>
      <c r="M136" s="32" t="n"/>
      <c r="N136" s="33" t="n"/>
      <c r="O136" s="10" t="n"/>
      <c r="P136" s="10" t="n"/>
      <c r="Q136" s="10" t="n"/>
      <c r="R136" s="10" t="n"/>
      <c r="S136" s="10" t="n"/>
      <c r="T136" s="32" t="n"/>
      <c r="U136" s="32" t="n"/>
      <c r="V136" s="16">
        <f>IF(A136="","",IF(OR(COUNTIF($A$8:$A$207,A136)&lt;&gt;1,COUNTIF('用胶项目'!$A$8:$A$207,B136)&lt;&gt;1,AND(D136&lt;&gt;"",COUNTIF('联系人'!$A$8:$A$207,D136)&lt;&gt;1),AND(M136&lt;&gt;"",COUNTIF('联系人'!$A$8:$A$207,M136)&lt;&gt;1),AND(T136&lt;&gt;"",COUNTIF('跟进待办'!$A$8:$A$207,T136)&lt;&gt;1),AND(U136&lt;&gt;"",COUNTIF('沟通记录'!$A$8:$A$207,U136)&lt;&gt;1)),"检查编号或关联","正常"))</f>
        <v/>
      </c>
    </row>
    <row r="137" ht="34" customHeight="1">
      <c r="A137" s="32" t="n"/>
      <c r="B137" s="32" t="n"/>
      <c r="C137" s="34">
        <f>IF(B137="","",IF(COUNTIF('用胶项目'!$A$8:$A$207,B137)&lt;&gt;1,"编号缺失或重复",INDEX('用胶项目'!$B$8:$B$207,MATCH(B137,'用胶项目'!$A$8:$A$207,0))))</f>
        <v/>
      </c>
      <c r="D137" s="32" t="n"/>
      <c r="E137" s="10" t="n"/>
      <c r="F137" s="38" t="n"/>
      <c r="G137" s="10" t="n"/>
      <c r="H137" s="10" t="n"/>
      <c r="I137" s="10" t="n"/>
      <c r="J137" s="33" t="n"/>
      <c r="K137" s="32" t="n"/>
      <c r="L137" s="33" t="n"/>
      <c r="M137" s="32" t="n"/>
      <c r="N137" s="33" t="n"/>
      <c r="O137" s="10" t="n"/>
      <c r="P137" s="10" t="n"/>
      <c r="Q137" s="10" t="n"/>
      <c r="R137" s="10" t="n"/>
      <c r="S137" s="10" t="n"/>
      <c r="T137" s="32" t="n"/>
      <c r="U137" s="32" t="n"/>
      <c r="V137" s="16">
        <f>IF(A137="","",IF(OR(COUNTIF($A$8:$A$207,A137)&lt;&gt;1,COUNTIF('用胶项目'!$A$8:$A$207,B137)&lt;&gt;1,AND(D137&lt;&gt;"",COUNTIF('联系人'!$A$8:$A$207,D137)&lt;&gt;1),AND(M137&lt;&gt;"",COUNTIF('联系人'!$A$8:$A$207,M137)&lt;&gt;1),AND(T137&lt;&gt;"",COUNTIF('跟进待办'!$A$8:$A$207,T137)&lt;&gt;1),AND(U137&lt;&gt;"",COUNTIF('沟通记录'!$A$8:$A$207,U137)&lt;&gt;1)),"检查编号或关联","正常"))</f>
        <v/>
      </c>
    </row>
    <row r="138" ht="34" customHeight="1">
      <c r="A138" s="32" t="n"/>
      <c r="B138" s="32" t="n"/>
      <c r="C138" s="34">
        <f>IF(B138="","",IF(COUNTIF('用胶项目'!$A$8:$A$207,B138)&lt;&gt;1,"编号缺失或重复",INDEX('用胶项目'!$B$8:$B$207,MATCH(B138,'用胶项目'!$A$8:$A$207,0))))</f>
        <v/>
      </c>
      <c r="D138" s="32" t="n"/>
      <c r="E138" s="10" t="n"/>
      <c r="F138" s="38" t="n"/>
      <c r="G138" s="10" t="n"/>
      <c r="H138" s="10" t="n"/>
      <c r="I138" s="10" t="n"/>
      <c r="J138" s="33" t="n"/>
      <c r="K138" s="32" t="n"/>
      <c r="L138" s="33" t="n"/>
      <c r="M138" s="32" t="n"/>
      <c r="N138" s="33" t="n"/>
      <c r="O138" s="10" t="n"/>
      <c r="P138" s="10" t="n"/>
      <c r="Q138" s="10" t="n"/>
      <c r="R138" s="10" t="n"/>
      <c r="S138" s="10" t="n"/>
      <c r="T138" s="32" t="n"/>
      <c r="U138" s="32" t="n"/>
      <c r="V138" s="16">
        <f>IF(A138="","",IF(OR(COUNTIF($A$8:$A$207,A138)&lt;&gt;1,COUNTIF('用胶项目'!$A$8:$A$207,B138)&lt;&gt;1,AND(D138&lt;&gt;"",COUNTIF('联系人'!$A$8:$A$207,D138)&lt;&gt;1),AND(M138&lt;&gt;"",COUNTIF('联系人'!$A$8:$A$207,M138)&lt;&gt;1),AND(T138&lt;&gt;"",COUNTIF('跟进待办'!$A$8:$A$207,T138)&lt;&gt;1),AND(U138&lt;&gt;"",COUNTIF('沟通记录'!$A$8:$A$207,U138)&lt;&gt;1)),"检查编号或关联","正常"))</f>
        <v/>
      </c>
    </row>
    <row r="139" ht="34" customHeight="1">
      <c r="A139" s="32" t="n"/>
      <c r="B139" s="32" t="n"/>
      <c r="C139" s="34">
        <f>IF(B139="","",IF(COUNTIF('用胶项目'!$A$8:$A$207,B139)&lt;&gt;1,"编号缺失或重复",INDEX('用胶项目'!$B$8:$B$207,MATCH(B139,'用胶项目'!$A$8:$A$207,0))))</f>
        <v/>
      </c>
      <c r="D139" s="32" t="n"/>
      <c r="E139" s="10" t="n"/>
      <c r="F139" s="38" t="n"/>
      <c r="G139" s="10" t="n"/>
      <c r="H139" s="10" t="n"/>
      <c r="I139" s="10" t="n"/>
      <c r="J139" s="33" t="n"/>
      <c r="K139" s="32" t="n"/>
      <c r="L139" s="33" t="n"/>
      <c r="M139" s="32" t="n"/>
      <c r="N139" s="33" t="n"/>
      <c r="O139" s="10" t="n"/>
      <c r="P139" s="10" t="n"/>
      <c r="Q139" s="10" t="n"/>
      <c r="R139" s="10" t="n"/>
      <c r="S139" s="10" t="n"/>
      <c r="T139" s="32" t="n"/>
      <c r="U139" s="32" t="n"/>
      <c r="V139" s="16">
        <f>IF(A139="","",IF(OR(COUNTIF($A$8:$A$207,A139)&lt;&gt;1,COUNTIF('用胶项目'!$A$8:$A$207,B139)&lt;&gt;1,AND(D139&lt;&gt;"",COUNTIF('联系人'!$A$8:$A$207,D139)&lt;&gt;1),AND(M139&lt;&gt;"",COUNTIF('联系人'!$A$8:$A$207,M139)&lt;&gt;1),AND(T139&lt;&gt;"",COUNTIF('跟进待办'!$A$8:$A$207,T139)&lt;&gt;1),AND(U139&lt;&gt;"",COUNTIF('沟通记录'!$A$8:$A$207,U139)&lt;&gt;1)),"检查编号或关联","正常"))</f>
        <v/>
      </c>
    </row>
    <row r="140" ht="34" customHeight="1">
      <c r="A140" s="32" t="n"/>
      <c r="B140" s="32" t="n"/>
      <c r="C140" s="34">
        <f>IF(B140="","",IF(COUNTIF('用胶项目'!$A$8:$A$207,B140)&lt;&gt;1,"编号缺失或重复",INDEX('用胶项目'!$B$8:$B$207,MATCH(B140,'用胶项目'!$A$8:$A$207,0))))</f>
        <v/>
      </c>
      <c r="D140" s="32" t="n"/>
      <c r="E140" s="10" t="n"/>
      <c r="F140" s="38" t="n"/>
      <c r="G140" s="10" t="n"/>
      <c r="H140" s="10" t="n"/>
      <c r="I140" s="10" t="n"/>
      <c r="J140" s="33" t="n"/>
      <c r="K140" s="32" t="n"/>
      <c r="L140" s="33" t="n"/>
      <c r="M140" s="32" t="n"/>
      <c r="N140" s="33" t="n"/>
      <c r="O140" s="10" t="n"/>
      <c r="P140" s="10" t="n"/>
      <c r="Q140" s="10" t="n"/>
      <c r="R140" s="10" t="n"/>
      <c r="S140" s="10" t="n"/>
      <c r="T140" s="32" t="n"/>
      <c r="U140" s="32" t="n"/>
      <c r="V140" s="16">
        <f>IF(A140="","",IF(OR(COUNTIF($A$8:$A$207,A140)&lt;&gt;1,COUNTIF('用胶项目'!$A$8:$A$207,B140)&lt;&gt;1,AND(D140&lt;&gt;"",COUNTIF('联系人'!$A$8:$A$207,D140)&lt;&gt;1),AND(M140&lt;&gt;"",COUNTIF('联系人'!$A$8:$A$207,M140)&lt;&gt;1),AND(T140&lt;&gt;"",COUNTIF('跟进待办'!$A$8:$A$207,T140)&lt;&gt;1),AND(U140&lt;&gt;"",COUNTIF('沟通记录'!$A$8:$A$207,U140)&lt;&gt;1)),"检查编号或关联","正常"))</f>
        <v/>
      </c>
    </row>
    <row r="141" ht="34" customHeight="1">
      <c r="A141" s="32" t="n"/>
      <c r="B141" s="32" t="n"/>
      <c r="C141" s="34">
        <f>IF(B141="","",IF(COUNTIF('用胶项目'!$A$8:$A$207,B141)&lt;&gt;1,"编号缺失或重复",INDEX('用胶项目'!$B$8:$B$207,MATCH(B141,'用胶项目'!$A$8:$A$207,0))))</f>
        <v/>
      </c>
      <c r="D141" s="32" t="n"/>
      <c r="E141" s="10" t="n"/>
      <c r="F141" s="38" t="n"/>
      <c r="G141" s="10" t="n"/>
      <c r="H141" s="10" t="n"/>
      <c r="I141" s="10" t="n"/>
      <c r="J141" s="33" t="n"/>
      <c r="K141" s="32" t="n"/>
      <c r="L141" s="33" t="n"/>
      <c r="M141" s="32" t="n"/>
      <c r="N141" s="33" t="n"/>
      <c r="O141" s="10" t="n"/>
      <c r="P141" s="10" t="n"/>
      <c r="Q141" s="10" t="n"/>
      <c r="R141" s="10" t="n"/>
      <c r="S141" s="10" t="n"/>
      <c r="T141" s="32" t="n"/>
      <c r="U141" s="32" t="n"/>
      <c r="V141" s="16">
        <f>IF(A141="","",IF(OR(COUNTIF($A$8:$A$207,A141)&lt;&gt;1,COUNTIF('用胶项目'!$A$8:$A$207,B141)&lt;&gt;1,AND(D141&lt;&gt;"",COUNTIF('联系人'!$A$8:$A$207,D141)&lt;&gt;1),AND(M141&lt;&gt;"",COUNTIF('联系人'!$A$8:$A$207,M141)&lt;&gt;1),AND(T141&lt;&gt;"",COUNTIF('跟进待办'!$A$8:$A$207,T141)&lt;&gt;1),AND(U141&lt;&gt;"",COUNTIF('沟通记录'!$A$8:$A$207,U141)&lt;&gt;1)),"检查编号或关联","正常"))</f>
        <v/>
      </c>
    </row>
    <row r="142" ht="34" customHeight="1">
      <c r="A142" s="32" t="n"/>
      <c r="B142" s="32" t="n"/>
      <c r="C142" s="34">
        <f>IF(B142="","",IF(COUNTIF('用胶项目'!$A$8:$A$207,B142)&lt;&gt;1,"编号缺失或重复",INDEX('用胶项目'!$B$8:$B$207,MATCH(B142,'用胶项目'!$A$8:$A$207,0))))</f>
        <v/>
      </c>
      <c r="D142" s="32" t="n"/>
      <c r="E142" s="10" t="n"/>
      <c r="F142" s="38" t="n"/>
      <c r="G142" s="10" t="n"/>
      <c r="H142" s="10" t="n"/>
      <c r="I142" s="10" t="n"/>
      <c r="J142" s="33" t="n"/>
      <c r="K142" s="32" t="n"/>
      <c r="L142" s="33" t="n"/>
      <c r="M142" s="32" t="n"/>
      <c r="N142" s="33" t="n"/>
      <c r="O142" s="10" t="n"/>
      <c r="P142" s="10" t="n"/>
      <c r="Q142" s="10" t="n"/>
      <c r="R142" s="10" t="n"/>
      <c r="S142" s="10" t="n"/>
      <c r="T142" s="32" t="n"/>
      <c r="U142" s="32" t="n"/>
      <c r="V142" s="16">
        <f>IF(A142="","",IF(OR(COUNTIF($A$8:$A$207,A142)&lt;&gt;1,COUNTIF('用胶项目'!$A$8:$A$207,B142)&lt;&gt;1,AND(D142&lt;&gt;"",COUNTIF('联系人'!$A$8:$A$207,D142)&lt;&gt;1),AND(M142&lt;&gt;"",COUNTIF('联系人'!$A$8:$A$207,M142)&lt;&gt;1),AND(T142&lt;&gt;"",COUNTIF('跟进待办'!$A$8:$A$207,T142)&lt;&gt;1),AND(U142&lt;&gt;"",COUNTIF('沟通记录'!$A$8:$A$207,U142)&lt;&gt;1)),"检查编号或关联","正常"))</f>
        <v/>
      </c>
    </row>
    <row r="143" ht="34" customHeight="1">
      <c r="A143" s="32" t="n"/>
      <c r="B143" s="32" t="n"/>
      <c r="C143" s="34">
        <f>IF(B143="","",IF(COUNTIF('用胶项目'!$A$8:$A$207,B143)&lt;&gt;1,"编号缺失或重复",INDEX('用胶项目'!$B$8:$B$207,MATCH(B143,'用胶项目'!$A$8:$A$207,0))))</f>
        <v/>
      </c>
      <c r="D143" s="32" t="n"/>
      <c r="E143" s="10" t="n"/>
      <c r="F143" s="38" t="n"/>
      <c r="G143" s="10" t="n"/>
      <c r="H143" s="10" t="n"/>
      <c r="I143" s="10" t="n"/>
      <c r="J143" s="33" t="n"/>
      <c r="K143" s="32" t="n"/>
      <c r="L143" s="33" t="n"/>
      <c r="M143" s="32" t="n"/>
      <c r="N143" s="33" t="n"/>
      <c r="O143" s="10" t="n"/>
      <c r="P143" s="10" t="n"/>
      <c r="Q143" s="10" t="n"/>
      <c r="R143" s="10" t="n"/>
      <c r="S143" s="10" t="n"/>
      <c r="T143" s="32" t="n"/>
      <c r="U143" s="32" t="n"/>
      <c r="V143" s="16">
        <f>IF(A143="","",IF(OR(COUNTIF($A$8:$A$207,A143)&lt;&gt;1,COUNTIF('用胶项目'!$A$8:$A$207,B143)&lt;&gt;1,AND(D143&lt;&gt;"",COUNTIF('联系人'!$A$8:$A$207,D143)&lt;&gt;1),AND(M143&lt;&gt;"",COUNTIF('联系人'!$A$8:$A$207,M143)&lt;&gt;1),AND(T143&lt;&gt;"",COUNTIF('跟进待办'!$A$8:$A$207,T143)&lt;&gt;1),AND(U143&lt;&gt;"",COUNTIF('沟通记录'!$A$8:$A$207,U143)&lt;&gt;1)),"检查编号或关联","正常"))</f>
        <v/>
      </c>
    </row>
    <row r="144" ht="34" customHeight="1">
      <c r="A144" s="32" t="n"/>
      <c r="B144" s="32" t="n"/>
      <c r="C144" s="34">
        <f>IF(B144="","",IF(COUNTIF('用胶项目'!$A$8:$A$207,B144)&lt;&gt;1,"编号缺失或重复",INDEX('用胶项目'!$B$8:$B$207,MATCH(B144,'用胶项目'!$A$8:$A$207,0))))</f>
        <v/>
      </c>
      <c r="D144" s="32" t="n"/>
      <c r="E144" s="10" t="n"/>
      <c r="F144" s="38" t="n"/>
      <c r="G144" s="10" t="n"/>
      <c r="H144" s="10" t="n"/>
      <c r="I144" s="10" t="n"/>
      <c r="J144" s="33" t="n"/>
      <c r="K144" s="32" t="n"/>
      <c r="L144" s="33" t="n"/>
      <c r="M144" s="32" t="n"/>
      <c r="N144" s="33" t="n"/>
      <c r="O144" s="10" t="n"/>
      <c r="P144" s="10" t="n"/>
      <c r="Q144" s="10" t="n"/>
      <c r="R144" s="10" t="n"/>
      <c r="S144" s="10" t="n"/>
      <c r="T144" s="32" t="n"/>
      <c r="U144" s="32" t="n"/>
      <c r="V144" s="16">
        <f>IF(A144="","",IF(OR(COUNTIF($A$8:$A$207,A144)&lt;&gt;1,COUNTIF('用胶项目'!$A$8:$A$207,B144)&lt;&gt;1,AND(D144&lt;&gt;"",COUNTIF('联系人'!$A$8:$A$207,D144)&lt;&gt;1),AND(M144&lt;&gt;"",COUNTIF('联系人'!$A$8:$A$207,M144)&lt;&gt;1),AND(T144&lt;&gt;"",COUNTIF('跟进待办'!$A$8:$A$207,T144)&lt;&gt;1),AND(U144&lt;&gt;"",COUNTIF('沟通记录'!$A$8:$A$207,U144)&lt;&gt;1)),"检查编号或关联","正常"))</f>
        <v/>
      </c>
    </row>
    <row r="145" ht="34" customHeight="1">
      <c r="A145" s="32" t="n"/>
      <c r="B145" s="32" t="n"/>
      <c r="C145" s="34">
        <f>IF(B145="","",IF(COUNTIF('用胶项目'!$A$8:$A$207,B145)&lt;&gt;1,"编号缺失或重复",INDEX('用胶项目'!$B$8:$B$207,MATCH(B145,'用胶项目'!$A$8:$A$207,0))))</f>
        <v/>
      </c>
      <c r="D145" s="32" t="n"/>
      <c r="E145" s="10" t="n"/>
      <c r="F145" s="38" t="n"/>
      <c r="G145" s="10" t="n"/>
      <c r="H145" s="10" t="n"/>
      <c r="I145" s="10" t="n"/>
      <c r="J145" s="33" t="n"/>
      <c r="K145" s="32" t="n"/>
      <c r="L145" s="33" t="n"/>
      <c r="M145" s="32" t="n"/>
      <c r="N145" s="33" t="n"/>
      <c r="O145" s="10" t="n"/>
      <c r="P145" s="10" t="n"/>
      <c r="Q145" s="10" t="n"/>
      <c r="R145" s="10" t="n"/>
      <c r="S145" s="10" t="n"/>
      <c r="T145" s="32" t="n"/>
      <c r="U145" s="32" t="n"/>
      <c r="V145" s="16">
        <f>IF(A145="","",IF(OR(COUNTIF($A$8:$A$207,A145)&lt;&gt;1,COUNTIF('用胶项目'!$A$8:$A$207,B145)&lt;&gt;1,AND(D145&lt;&gt;"",COUNTIF('联系人'!$A$8:$A$207,D145)&lt;&gt;1),AND(M145&lt;&gt;"",COUNTIF('联系人'!$A$8:$A$207,M145)&lt;&gt;1),AND(T145&lt;&gt;"",COUNTIF('跟进待办'!$A$8:$A$207,T145)&lt;&gt;1),AND(U145&lt;&gt;"",COUNTIF('沟通记录'!$A$8:$A$207,U145)&lt;&gt;1)),"检查编号或关联","正常"))</f>
        <v/>
      </c>
    </row>
    <row r="146" ht="34" customHeight="1">
      <c r="A146" s="32" t="n"/>
      <c r="B146" s="32" t="n"/>
      <c r="C146" s="34">
        <f>IF(B146="","",IF(COUNTIF('用胶项目'!$A$8:$A$207,B146)&lt;&gt;1,"编号缺失或重复",INDEX('用胶项目'!$B$8:$B$207,MATCH(B146,'用胶项目'!$A$8:$A$207,0))))</f>
        <v/>
      </c>
      <c r="D146" s="32" t="n"/>
      <c r="E146" s="10" t="n"/>
      <c r="F146" s="38" t="n"/>
      <c r="G146" s="10" t="n"/>
      <c r="H146" s="10" t="n"/>
      <c r="I146" s="10" t="n"/>
      <c r="J146" s="33" t="n"/>
      <c r="K146" s="32" t="n"/>
      <c r="L146" s="33" t="n"/>
      <c r="M146" s="32" t="n"/>
      <c r="N146" s="33" t="n"/>
      <c r="O146" s="10" t="n"/>
      <c r="P146" s="10" t="n"/>
      <c r="Q146" s="10" t="n"/>
      <c r="R146" s="10" t="n"/>
      <c r="S146" s="10" t="n"/>
      <c r="T146" s="32" t="n"/>
      <c r="U146" s="32" t="n"/>
      <c r="V146" s="16">
        <f>IF(A146="","",IF(OR(COUNTIF($A$8:$A$207,A146)&lt;&gt;1,COUNTIF('用胶项目'!$A$8:$A$207,B146)&lt;&gt;1,AND(D146&lt;&gt;"",COUNTIF('联系人'!$A$8:$A$207,D146)&lt;&gt;1),AND(M146&lt;&gt;"",COUNTIF('联系人'!$A$8:$A$207,M146)&lt;&gt;1),AND(T146&lt;&gt;"",COUNTIF('跟进待办'!$A$8:$A$207,T146)&lt;&gt;1),AND(U146&lt;&gt;"",COUNTIF('沟通记录'!$A$8:$A$207,U146)&lt;&gt;1)),"检查编号或关联","正常"))</f>
        <v/>
      </c>
    </row>
    <row r="147" ht="34" customHeight="1">
      <c r="A147" s="32" t="n"/>
      <c r="B147" s="32" t="n"/>
      <c r="C147" s="34">
        <f>IF(B147="","",IF(COUNTIF('用胶项目'!$A$8:$A$207,B147)&lt;&gt;1,"编号缺失或重复",INDEX('用胶项目'!$B$8:$B$207,MATCH(B147,'用胶项目'!$A$8:$A$207,0))))</f>
        <v/>
      </c>
      <c r="D147" s="32" t="n"/>
      <c r="E147" s="10" t="n"/>
      <c r="F147" s="38" t="n"/>
      <c r="G147" s="10" t="n"/>
      <c r="H147" s="10" t="n"/>
      <c r="I147" s="10" t="n"/>
      <c r="J147" s="33" t="n"/>
      <c r="K147" s="32" t="n"/>
      <c r="L147" s="33" t="n"/>
      <c r="M147" s="32" t="n"/>
      <c r="N147" s="33" t="n"/>
      <c r="O147" s="10" t="n"/>
      <c r="P147" s="10" t="n"/>
      <c r="Q147" s="10" t="n"/>
      <c r="R147" s="10" t="n"/>
      <c r="S147" s="10" t="n"/>
      <c r="T147" s="32" t="n"/>
      <c r="U147" s="32" t="n"/>
      <c r="V147" s="16">
        <f>IF(A147="","",IF(OR(COUNTIF($A$8:$A$207,A147)&lt;&gt;1,COUNTIF('用胶项目'!$A$8:$A$207,B147)&lt;&gt;1,AND(D147&lt;&gt;"",COUNTIF('联系人'!$A$8:$A$207,D147)&lt;&gt;1),AND(M147&lt;&gt;"",COUNTIF('联系人'!$A$8:$A$207,M147)&lt;&gt;1),AND(T147&lt;&gt;"",COUNTIF('跟进待办'!$A$8:$A$207,T147)&lt;&gt;1),AND(U147&lt;&gt;"",COUNTIF('沟通记录'!$A$8:$A$207,U147)&lt;&gt;1)),"检查编号或关联","正常"))</f>
        <v/>
      </c>
    </row>
    <row r="148" ht="34" customHeight="1">
      <c r="A148" s="32" t="n"/>
      <c r="B148" s="32" t="n"/>
      <c r="C148" s="34">
        <f>IF(B148="","",IF(COUNTIF('用胶项目'!$A$8:$A$207,B148)&lt;&gt;1,"编号缺失或重复",INDEX('用胶项目'!$B$8:$B$207,MATCH(B148,'用胶项目'!$A$8:$A$207,0))))</f>
        <v/>
      </c>
      <c r="D148" s="32" t="n"/>
      <c r="E148" s="10" t="n"/>
      <c r="F148" s="38" t="n"/>
      <c r="G148" s="10" t="n"/>
      <c r="H148" s="10" t="n"/>
      <c r="I148" s="10" t="n"/>
      <c r="J148" s="33" t="n"/>
      <c r="K148" s="32" t="n"/>
      <c r="L148" s="33" t="n"/>
      <c r="M148" s="32" t="n"/>
      <c r="N148" s="33" t="n"/>
      <c r="O148" s="10" t="n"/>
      <c r="P148" s="10" t="n"/>
      <c r="Q148" s="10" t="n"/>
      <c r="R148" s="10" t="n"/>
      <c r="S148" s="10" t="n"/>
      <c r="T148" s="32" t="n"/>
      <c r="U148" s="32" t="n"/>
      <c r="V148" s="16">
        <f>IF(A148="","",IF(OR(COUNTIF($A$8:$A$207,A148)&lt;&gt;1,COUNTIF('用胶项目'!$A$8:$A$207,B148)&lt;&gt;1,AND(D148&lt;&gt;"",COUNTIF('联系人'!$A$8:$A$207,D148)&lt;&gt;1),AND(M148&lt;&gt;"",COUNTIF('联系人'!$A$8:$A$207,M148)&lt;&gt;1),AND(T148&lt;&gt;"",COUNTIF('跟进待办'!$A$8:$A$207,T148)&lt;&gt;1),AND(U148&lt;&gt;"",COUNTIF('沟通记录'!$A$8:$A$207,U148)&lt;&gt;1)),"检查编号或关联","正常"))</f>
        <v/>
      </c>
    </row>
    <row r="149" ht="34" customHeight="1">
      <c r="A149" s="32" t="n"/>
      <c r="B149" s="32" t="n"/>
      <c r="C149" s="34">
        <f>IF(B149="","",IF(COUNTIF('用胶项目'!$A$8:$A$207,B149)&lt;&gt;1,"编号缺失或重复",INDEX('用胶项目'!$B$8:$B$207,MATCH(B149,'用胶项目'!$A$8:$A$207,0))))</f>
        <v/>
      </c>
      <c r="D149" s="32" t="n"/>
      <c r="E149" s="10" t="n"/>
      <c r="F149" s="38" t="n"/>
      <c r="G149" s="10" t="n"/>
      <c r="H149" s="10" t="n"/>
      <c r="I149" s="10" t="n"/>
      <c r="J149" s="33" t="n"/>
      <c r="K149" s="32" t="n"/>
      <c r="L149" s="33" t="n"/>
      <c r="M149" s="32" t="n"/>
      <c r="N149" s="33" t="n"/>
      <c r="O149" s="10" t="n"/>
      <c r="P149" s="10" t="n"/>
      <c r="Q149" s="10" t="n"/>
      <c r="R149" s="10" t="n"/>
      <c r="S149" s="10" t="n"/>
      <c r="T149" s="32" t="n"/>
      <c r="U149" s="32" t="n"/>
      <c r="V149" s="16">
        <f>IF(A149="","",IF(OR(COUNTIF($A$8:$A$207,A149)&lt;&gt;1,COUNTIF('用胶项目'!$A$8:$A$207,B149)&lt;&gt;1,AND(D149&lt;&gt;"",COUNTIF('联系人'!$A$8:$A$207,D149)&lt;&gt;1),AND(M149&lt;&gt;"",COUNTIF('联系人'!$A$8:$A$207,M149)&lt;&gt;1),AND(T149&lt;&gt;"",COUNTIF('跟进待办'!$A$8:$A$207,T149)&lt;&gt;1),AND(U149&lt;&gt;"",COUNTIF('沟通记录'!$A$8:$A$207,U149)&lt;&gt;1)),"检查编号或关联","正常"))</f>
        <v/>
      </c>
    </row>
    <row r="150" ht="34" customHeight="1">
      <c r="A150" s="32" t="n"/>
      <c r="B150" s="32" t="n"/>
      <c r="C150" s="34">
        <f>IF(B150="","",IF(COUNTIF('用胶项目'!$A$8:$A$207,B150)&lt;&gt;1,"编号缺失或重复",INDEX('用胶项目'!$B$8:$B$207,MATCH(B150,'用胶项目'!$A$8:$A$207,0))))</f>
        <v/>
      </c>
      <c r="D150" s="32" t="n"/>
      <c r="E150" s="10" t="n"/>
      <c r="F150" s="38" t="n"/>
      <c r="G150" s="10" t="n"/>
      <c r="H150" s="10" t="n"/>
      <c r="I150" s="10" t="n"/>
      <c r="J150" s="33" t="n"/>
      <c r="K150" s="32" t="n"/>
      <c r="L150" s="33" t="n"/>
      <c r="M150" s="32" t="n"/>
      <c r="N150" s="33" t="n"/>
      <c r="O150" s="10" t="n"/>
      <c r="P150" s="10" t="n"/>
      <c r="Q150" s="10" t="n"/>
      <c r="R150" s="10" t="n"/>
      <c r="S150" s="10" t="n"/>
      <c r="T150" s="32" t="n"/>
      <c r="U150" s="32" t="n"/>
      <c r="V150" s="16">
        <f>IF(A150="","",IF(OR(COUNTIF($A$8:$A$207,A150)&lt;&gt;1,COUNTIF('用胶项目'!$A$8:$A$207,B150)&lt;&gt;1,AND(D150&lt;&gt;"",COUNTIF('联系人'!$A$8:$A$207,D150)&lt;&gt;1),AND(M150&lt;&gt;"",COUNTIF('联系人'!$A$8:$A$207,M150)&lt;&gt;1),AND(T150&lt;&gt;"",COUNTIF('跟进待办'!$A$8:$A$207,T150)&lt;&gt;1),AND(U150&lt;&gt;"",COUNTIF('沟通记录'!$A$8:$A$207,U150)&lt;&gt;1)),"检查编号或关联","正常"))</f>
        <v/>
      </c>
    </row>
    <row r="151" ht="34" customHeight="1">
      <c r="A151" s="32" t="n"/>
      <c r="B151" s="32" t="n"/>
      <c r="C151" s="34">
        <f>IF(B151="","",IF(COUNTIF('用胶项目'!$A$8:$A$207,B151)&lt;&gt;1,"编号缺失或重复",INDEX('用胶项目'!$B$8:$B$207,MATCH(B151,'用胶项目'!$A$8:$A$207,0))))</f>
        <v/>
      </c>
      <c r="D151" s="32" t="n"/>
      <c r="E151" s="10" t="n"/>
      <c r="F151" s="38" t="n"/>
      <c r="G151" s="10" t="n"/>
      <c r="H151" s="10" t="n"/>
      <c r="I151" s="10" t="n"/>
      <c r="J151" s="33" t="n"/>
      <c r="K151" s="32" t="n"/>
      <c r="L151" s="33" t="n"/>
      <c r="M151" s="32" t="n"/>
      <c r="N151" s="33" t="n"/>
      <c r="O151" s="10" t="n"/>
      <c r="P151" s="10" t="n"/>
      <c r="Q151" s="10" t="n"/>
      <c r="R151" s="10" t="n"/>
      <c r="S151" s="10" t="n"/>
      <c r="T151" s="32" t="n"/>
      <c r="U151" s="32" t="n"/>
      <c r="V151" s="16">
        <f>IF(A151="","",IF(OR(COUNTIF($A$8:$A$207,A151)&lt;&gt;1,COUNTIF('用胶项目'!$A$8:$A$207,B151)&lt;&gt;1,AND(D151&lt;&gt;"",COUNTIF('联系人'!$A$8:$A$207,D151)&lt;&gt;1),AND(M151&lt;&gt;"",COUNTIF('联系人'!$A$8:$A$207,M151)&lt;&gt;1),AND(T151&lt;&gt;"",COUNTIF('跟进待办'!$A$8:$A$207,T151)&lt;&gt;1),AND(U151&lt;&gt;"",COUNTIF('沟通记录'!$A$8:$A$207,U151)&lt;&gt;1)),"检查编号或关联","正常"))</f>
        <v/>
      </c>
    </row>
    <row r="152" ht="34" customHeight="1">
      <c r="A152" s="32" t="n"/>
      <c r="B152" s="32" t="n"/>
      <c r="C152" s="34">
        <f>IF(B152="","",IF(COUNTIF('用胶项目'!$A$8:$A$207,B152)&lt;&gt;1,"编号缺失或重复",INDEX('用胶项目'!$B$8:$B$207,MATCH(B152,'用胶项目'!$A$8:$A$207,0))))</f>
        <v/>
      </c>
      <c r="D152" s="32" t="n"/>
      <c r="E152" s="10" t="n"/>
      <c r="F152" s="38" t="n"/>
      <c r="G152" s="10" t="n"/>
      <c r="H152" s="10" t="n"/>
      <c r="I152" s="10" t="n"/>
      <c r="J152" s="33" t="n"/>
      <c r="K152" s="32" t="n"/>
      <c r="L152" s="33" t="n"/>
      <c r="M152" s="32" t="n"/>
      <c r="N152" s="33" t="n"/>
      <c r="O152" s="10" t="n"/>
      <c r="P152" s="10" t="n"/>
      <c r="Q152" s="10" t="n"/>
      <c r="R152" s="10" t="n"/>
      <c r="S152" s="10" t="n"/>
      <c r="T152" s="32" t="n"/>
      <c r="U152" s="32" t="n"/>
      <c r="V152" s="16">
        <f>IF(A152="","",IF(OR(COUNTIF($A$8:$A$207,A152)&lt;&gt;1,COUNTIF('用胶项目'!$A$8:$A$207,B152)&lt;&gt;1,AND(D152&lt;&gt;"",COUNTIF('联系人'!$A$8:$A$207,D152)&lt;&gt;1),AND(M152&lt;&gt;"",COUNTIF('联系人'!$A$8:$A$207,M152)&lt;&gt;1),AND(T152&lt;&gt;"",COUNTIF('跟进待办'!$A$8:$A$207,T152)&lt;&gt;1),AND(U152&lt;&gt;"",COUNTIF('沟通记录'!$A$8:$A$207,U152)&lt;&gt;1)),"检查编号或关联","正常"))</f>
        <v/>
      </c>
    </row>
    <row r="153" ht="34" customHeight="1">
      <c r="A153" s="32" t="n"/>
      <c r="B153" s="32" t="n"/>
      <c r="C153" s="34">
        <f>IF(B153="","",IF(COUNTIF('用胶项目'!$A$8:$A$207,B153)&lt;&gt;1,"编号缺失或重复",INDEX('用胶项目'!$B$8:$B$207,MATCH(B153,'用胶项目'!$A$8:$A$207,0))))</f>
        <v/>
      </c>
      <c r="D153" s="32" t="n"/>
      <c r="E153" s="10" t="n"/>
      <c r="F153" s="38" t="n"/>
      <c r="G153" s="10" t="n"/>
      <c r="H153" s="10" t="n"/>
      <c r="I153" s="10" t="n"/>
      <c r="J153" s="33" t="n"/>
      <c r="K153" s="32" t="n"/>
      <c r="L153" s="33" t="n"/>
      <c r="M153" s="32" t="n"/>
      <c r="N153" s="33" t="n"/>
      <c r="O153" s="10" t="n"/>
      <c r="P153" s="10" t="n"/>
      <c r="Q153" s="10" t="n"/>
      <c r="R153" s="10" t="n"/>
      <c r="S153" s="10" t="n"/>
      <c r="T153" s="32" t="n"/>
      <c r="U153" s="32" t="n"/>
      <c r="V153" s="16">
        <f>IF(A153="","",IF(OR(COUNTIF($A$8:$A$207,A153)&lt;&gt;1,COUNTIF('用胶项目'!$A$8:$A$207,B153)&lt;&gt;1,AND(D153&lt;&gt;"",COUNTIF('联系人'!$A$8:$A$207,D153)&lt;&gt;1),AND(M153&lt;&gt;"",COUNTIF('联系人'!$A$8:$A$207,M153)&lt;&gt;1),AND(T153&lt;&gt;"",COUNTIF('跟进待办'!$A$8:$A$207,T153)&lt;&gt;1),AND(U153&lt;&gt;"",COUNTIF('沟通记录'!$A$8:$A$207,U153)&lt;&gt;1)),"检查编号或关联","正常"))</f>
        <v/>
      </c>
    </row>
    <row r="154" ht="34" customHeight="1">
      <c r="A154" s="32" t="n"/>
      <c r="B154" s="32" t="n"/>
      <c r="C154" s="34">
        <f>IF(B154="","",IF(COUNTIF('用胶项目'!$A$8:$A$207,B154)&lt;&gt;1,"编号缺失或重复",INDEX('用胶项目'!$B$8:$B$207,MATCH(B154,'用胶项目'!$A$8:$A$207,0))))</f>
        <v/>
      </c>
      <c r="D154" s="32" t="n"/>
      <c r="E154" s="10" t="n"/>
      <c r="F154" s="38" t="n"/>
      <c r="G154" s="10" t="n"/>
      <c r="H154" s="10" t="n"/>
      <c r="I154" s="10" t="n"/>
      <c r="J154" s="33" t="n"/>
      <c r="K154" s="32" t="n"/>
      <c r="L154" s="33" t="n"/>
      <c r="M154" s="32" t="n"/>
      <c r="N154" s="33" t="n"/>
      <c r="O154" s="10" t="n"/>
      <c r="P154" s="10" t="n"/>
      <c r="Q154" s="10" t="n"/>
      <c r="R154" s="10" t="n"/>
      <c r="S154" s="10" t="n"/>
      <c r="T154" s="32" t="n"/>
      <c r="U154" s="32" t="n"/>
      <c r="V154" s="16">
        <f>IF(A154="","",IF(OR(COUNTIF($A$8:$A$207,A154)&lt;&gt;1,COUNTIF('用胶项目'!$A$8:$A$207,B154)&lt;&gt;1,AND(D154&lt;&gt;"",COUNTIF('联系人'!$A$8:$A$207,D154)&lt;&gt;1),AND(M154&lt;&gt;"",COUNTIF('联系人'!$A$8:$A$207,M154)&lt;&gt;1),AND(T154&lt;&gt;"",COUNTIF('跟进待办'!$A$8:$A$207,T154)&lt;&gt;1),AND(U154&lt;&gt;"",COUNTIF('沟通记录'!$A$8:$A$207,U154)&lt;&gt;1)),"检查编号或关联","正常"))</f>
        <v/>
      </c>
    </row>
    <row r="155" ht="34" customHeight="1">
      <c r="A155" s="32" t="n"/>
      <c r="B155" s="32" t="n"/>
      <c r="C155" s="34">
        <f>IF(B155="","",IF(COUNTIF('用胶项目'!$A$8:$A$207,B155)&lt;&gt;1,"编号缺失或重复",INDEX('用胶项目'!$B$8:$B$207,MATCH(B155,'用胶项目'!$A$8:$A$207,0))))</f>
        <v/>
      </c>
      <c r="D155" s="32" t="n"/>
      <c r="E155" s="10" t="n"/>
      <c r="F155" s="38" t="n"/>
      <c r="G155" s="10" t="n"/>
      <c r="H155" s="10" t="n"/>
      <c r="I155" s="10" t="n"/>
      <c r="J155" s="33" t="n"/>
      <c r="K155" s="32" t="n"/>
      <c r="L155" s="33" t="n"/>
      <c r="M155" s="32" t="n"/>
      <c r="N155" s="33" t="n"/>
      <c r="O155" s="10" t="n"/>
      <c r="P155" s="10" t="n"/>
      <c r="Q155" s="10" t="n"/>
      <c r="R155" s="10" t="n"/>
      <c r="S155" s="10" t="n"/>
      <c r="T155" s="32" t="n"/>
      <c r="U155" s="32" t="n"/>
      <c r="V155" s="16">
        <f>IF(A155="","",IF(OR(COUNTIF($A$8:$A$207,A155)&lt;&gt;1,COUNTIF('用胶项目'!$A$8:$A$207,B155)&lt;&gt;1,AND(D155&lt;&gt;"",COUNTIF('联系人'!$A$8:$A$207,D155)&lt;&gt;1),AND(M155&lt;&gt;"",COUNTIF('联系人'!$A$8:$A$207,M155)&lt;&gt;1),AND(T155&lt;&gt;"",COUNTIF('跟进待办'!$A$8:$A$207,T155)&lt;&gt;1),AND(U155&lt;&gt;"",COUNTIF('沟通记录'!$A$8:$A$207,U155)&lt;&gt;1)),"检查编号或关联","正常"))</f>
        <v/>
      </c>
    </row>
    <row r="156" ht="34" customHeight="1">
      <c r="A156" s="32" t="n"/>
      <c r="B156" s="32" t="n"/>
      <c r="C156" s="34">
        <f>IF(B156="","",IF(COUNTIF('用胶项目'!$A$8:$A$207,B156)&lt;&gt;1,"编号缺失或重复",INDEX('用胶项目'!$B$8:$B$207,MATCH(B156,'用胶项目'!$A$8:$A$207,0))))</f>
        <v/>
      </c>
      <c r="D156" s="32" t="n"/>
      <c r="E156" s="10" t="n"/>
      <c r="F156" s="38" t="n"/>
      <c r="G156" s="10" t="n"/>
      <c r="H156" s="10" t="n"/>
      <c r="I156" s="10" t="n"/>
      <c r="J156" s="33" t="n"/>
      <c r="K156" s="32" t="n"/>
      <c r="L156" s="33" t="n"/>
      <c r="M156" s="32" t="n"/>
      <c r="N156" s="33" t="n"/>
      <c r="O156" s="10" t="n"/>
      <c r="P156" s="10" t="n"/>
      <c r="Q156" s="10" t="n"/>
      <c r="R156" s="10" t="n"/>
      <c r="S156" s="10" t="n"/>
      <c r="T156" s="32" t="n"/>
      <c r="U156" s="32" t="n"/>
      <c r="V156" s="16">
        <f>IF(A156="","",IF(OR(COUNTIF($A$8:$A$207,A156)&lt;&gt;1,COUNTIF('用胶项目'!$A$8:$A$207,B156)&lt;&gt;1,AND(D156&lt;&gt;"",COUNTIF('联系人'!$A$8:$A$207,D156)&lt;&gt;1),AND(M156&lt;&gt;"",COUNTIF('联系人'!$A$8:$A$207,M156)&lt;&gt;1),AND(T156&lt;&gt;"",COUNTIF('跟进待办'!$A$8:$A$207,T156)&lt;&gt;1),AND(U156&lt;&gt;"",COUNTIF('沟通记录'!$A$8:$A$207,U156)&lt;&gt;1)),"检查编号或关联","正常"))</f>
        <v/>
      </c>
    </row>
    <row r="157" ht="34" customHeight="1">
      <c r="A157" s="32" t="n"/>
      <c r="B157" s="32" t="n"/>
      <c r="C157" s="34">
        <f>IF(B157="","",IF(COUNTIF('用胶项目'!$A$8:$A$207,B157)&lt;&gt;1,"编号缺失或重复",INDEX('用胶项目'!$B$8:$B$207,MATCH(B157,'用胶项目'!$A$8:$A$207,0))))</f>
        <v/>
      </c>
      <c r="D157" s="32" t="n"/>
      <c r="E157" s="10" t="n"/>
      <c r="F157" s="38" t="n"/>
      <c r="G157" s="10" t="n"/>
      <c r="H157" s="10" t="n"/>
      <c r="I157" s="10" t="n"/>
      <c r="J157" s="33" t="n"/>
      <c r="K157" s="32" t="n"/>
      <c r="L157" s="33" t="n"/>
      <c r="M157" s="32" t="n"/>
      <c r="N157" s="33" t="n"/>
      <c r="O157" s="10" t="n"/>
      <c r="P157" s="10" t="n"/>
      <c r="Q157" s="10" t="n"/>
      <c r="R157" s="10" t="n"/>
      <c r="S157" s="10" t="n"/>
      <c r="T157" s="32" t="n"/>
      <c r="U157" s="32" t="n"/>
      <c r="V157" s="16">
        <f>IF(A157="","",IF(OR(COUNTIF($A$8:$A$207,A157)&lt;&gt;1,COUNTIF('用胶项目'!$A$8:$A$207,B157)&lt;&gt;1,AND(D157&lt;&gt;"",COUNTIF('联系人'!$A$8:$A$207,D157)&lt;&gt;1),AND(M157&lt;&gt;"",COUNTIF('联系人'!$A$8:$A$207,M157)&lt;&gt;1),AND(T157&lt;&gt;"",COUNTIF('跟进待办'!$A$8:$A$207,T157)&lt;&gt;1),AND(U157&lt;&gt;"",COUNTIF('沟通记录'!$A$8:$A$207,U157)&lt;&gt;1)),"检查编号或关联","正常"))</f>
        <v/>
      </c>
    </row>
    <row r="158" ht="34" customHeight="1">
      <c r="A158" s="32" t="n"/>
      <c r="B158" s="32" t="n"/>
      <c r="C158" s="34">
        <f>IF(B158="","",IF(COUNTIF('用胶项目'!$A$8:$A$207,B158)&lt;&gt;1,"编号缺失或重复",INDEX('用胶项目'!$B$8:$B$207,MATCH(B158,'用胶项目'!$A$8:$A$207,0))))</f>
        <v/>
      </c>
      <c r="D158" s="32" t="n"/>
      <c r="E158" s="10" t="n"/>
      <c r="F158" s="38" t="n"/>
      <c r="G158" s="10" t="n"/>
      <c r="H158" s="10" t="n"/>
      <c r="I158" s="10" t="n"/>
      <c r="J158" s="33" t="n"/>
      <c r="K158" s="32" t="n"/>
      <c r="L158" s="33" t="n"/>
      <c r="M158" s="32" t="n"/>
      <c r="N158" s="33" t="n"/>
      <c r="O158" s="10" t="n"/>
      <c r="P158" s="10" t="n"/>
      <c r="Q158" s="10" t="n"/>
      <c r="R158" s="10" t="n"/>
      <c r="S158" s="10" t="n"/>
      <c r="T158" s="32" t="n"/>
      <c r="U158" s="32" t="n"/>
      <c r="V158" s="16">
        <f>IF(A158="","",IF(OR(COUNTIF($A$8:$A$207,A158)&lt;&gt;1,COUNTIF('用胶项目'!$A$8:$A$207,B158)&lt;&gt;1,AND(D158&lt;&gt;"",COUNTIF('联系人'!$A$8:$A$207,D158)&lt;&gt;1),AND(M158&lt;&gt;"",COUNTIF('联系人'!$A$8:$A$207,M158)&lt;&gt;1),AND(T158&lt;&gt;"",COUNTIF('跟进待办'!$A$8:$A$207,T158)&lt;&gt;1),AND(U158&lt;&gt;"",COUNTIF('沟通记录'!$A$8:$A$207,U158)&lt;&gt;1)),"检查编号或关联","正常"))</f>
        <v/>
      </c>
    </row>
    <row r="159" ht="34" customHeight="1">
      <c r="A159" s="32" t="n"/>
      <c r="B159" s="32" t="n"/>
      <c r="C159" s="34">
        <f>IF(B159="","",IF(COUNTIF('用胶项目'!$A$8:$A$207,B159)&lt;&gt;1,"编号缺失或重复",INDEX('用胶项目'!$B$8:$B$207,MATCH(B159,'用胶项目'!$A$8:$A$207,0))))</f>
        <v/>
      </c>
      <c r="D159" s="32" t="n"/>
      <c r="E159" s="10" t="n"/>
      <c r="F159" s="38" t="n"/>
      <c r="G159" s="10" t="n"/>
      <c r="H159" s="10" t="n"/>
      <c r="I159" s="10" t="n"/>
      <c r="J159" s="33" t="n"/>
      <c r="K159" s="32" t="n"/>
      <c r="L159" s="33" t="n"/>
      <c r="M159" s="32" t="n"/>
      <c r="N159" s="33" t="n"/>
      <c r="O159" s="10" t="n"/>
      <c r="P159" s="10" t="n"/>
      <c r="Q159" s="10" t="n"/>
      <c r="R159" s="10" t="n"/>
      <c r="S159" s="10" t="n"/>
      <c r="T159" s="32" t="n"/>
      <c r="U159" s="32" t="n"/>
      <c r="V159" s="16">
        <f>IF(A159="","",IF(OR(COUNTIF($A$8:$A$207,A159)&lt;&gt;1,COUNTIF('用胶项目'!$A$8:$A$207,B159)&lt;&gt;1,AND(D159&lt;&gt;"",COUNTIF('联系人'!$A$8:$A$207,D159)&lt;&gt;1),AND(M159&lt;&gt;"",COUNTIF('联系人'!$A$8:$A$207,M159)&lt;&gt;1),AND(T159&lt;&gt;"",COUNTIF('跟进待办'!$A$8:$A$207,T159)&lt;&gt;1),AND(U159&lt;&gt;"",COUNTIF('沟通记录'!$A$8:$A$207,U159)&lt;&gt;1)),"检查编号或关联","正常"))</f>
        <v/>
      </c>
    </row>
    <row r="160" ht="34" customHeight="1">
      <c r="A160" s="32" t="n"/>
      <c r="B160" s="32" t="n"/>
      <c r="C160" s="34">
        <f>IF(B160="","",IF(COUNTIF('用胶项目'!$A$8:$A$207,B160)&lt;&gt;1,"编号缺失或重复",INDEX('用胶项目'!$B$8:$B$207,MATCH(B160,'用胶项目'!$A$8:$A$207,0))))</f>
        <v/>
      </c>
      <c r="D160" s="32" t="n"/>
      <c r="E160" s="10" t="n"/>
      <c r="F160" s="38" t="n"/>
      <c r="G160" s="10" t="n"/>
      <c r="H160" s="10" t="n"/>
      <c r="I160" s="10" t="n"/>
      <c r="J160" s="33" t="n"/>
      <c r="K160" s="32" t="n"/>
      <c r="L160" s="33" t="n"/>
      <c r="M160" s="32" t="n"/>
      <c r="N160" s="33" t="n"/>
      <c r="O160" s="10" t="n"/>
      <c r="P160" s="10" t="n"/>
      <c r="Q160" s="10" t="n"/>
      <c r="R160" s="10" t="n"/>
      <c r="S160" s="10" t="n"/>
      <c r="T160" s="32" t="n"/>
      <c r="U160" s="32" t="n"/>
      <c r="V160" s="16">
        <f>IF(A160="","",IF(OR(COUNTIF($A$8:$A$207,A160)&lt;&gt;1,COUNTIF('用胶项目'!$A$8:$A$207,B160)&lt;&gt;1,AND(D160&lt;&gt;"",COUNTIF('联系人'!$A$8:$A$207,D160)&lt;&gt;1),AND(M160&lt;&gt;"",COUNTIF('联系人'!$A$8:$A$207,M160)&lt;&gt;1),AND(T160&lt;&gt;"",COUNTIF('跟进待办'!$A$8:$A$207,T160)&lt;&gt;1),AND(U160&lt;&gt;"",COUNTIF('沟通记录'!$A$8:$A$207,U160)&lt;&gt;1)),"检查编号或关联","正常"))</f>
        <v/>
      </c>
    </row>
    <row r="161" ht="34" customHeight="1">
      <c r="A161" s="32" t="n"/>
      <c r="B161" s="32" t="n"/>
      <c r="C161" s="34">
        <f>IF(B161="","",IF(COUNTIF('用胶项目'!$A$8:$A$207,B161)&lt;&gt;1,"编号缺失或重复",INDEX('用胶项目'!$B$8:$B$207,MATCH(B161,'用胶项目'!$A$8:$A$207,0))))</f>
        <v/>
      </c>
      <c r="D161" s="32" t="n"/>
      <c r="E161" s="10" t="n"/>
      <c r="F161" s="38" t="n"/>
      <c r="G161" s="10" t="n"/>
      <c r="H161" s="10" t="n"/>
      <c r="I161" s="10" t="n"/>
      <c r="J161" s="33" t="n"/>
      <c r="K161" s="32" t="n"/>
      <c r="L161" s="33" t="n"/>
      <c r="M161" s="32" t="n"/>
      <c r="N161" s="33" t="n"/>
      <c r="O161" s="10" t="n"/>
      <c r="P161" s="10" t="n"/>
      <c r="Q161" s="10" t="n"/>
      <c r="R161" s="10" t="n"/>
      <c r="S161" s="10" t="n"/>
      <c r="T161" s="32" t="n"/>
      <c r="U161" s="32" t="n"/>
      <c r="V161" s="16">
        <f>IF(A161="","",IF(OR(COUNTIF($A$8:$A$207,A161)&lt;&gt;1,COUNTIF('用胶项目'!$A$8:$A$207,B161)&lt;&gt;1,AND(D161&lt;&gt;"",COUNTIF('联系人'!$A$8:$A$207,D161)&lt;&gt;1),AND(M161&lt;&gt;"",COUNTIF('联系人'!$A$8:$A$207,M161)&lt;&gt;1),AND(T161&lt;&gt;"",COUNTIF('跟进待办'!$A$8:$A$207,T161)&lt;&gt;1),AND(U161&lt;&gt;"",COUNTIF('沟通记录'!$A$8:$A$207,U161)&lt;&gt;1)),"检查编号或关联","正常"))</f>
        <v/>
      </c>
    </row>
    <row r="162" ht="34" customHeight="1">
      <c r="A162" s="32" t="n"/>
      <c r="B162" s="32" t="n"/>
      <c r="C162" s="34">
        <f>IF(B162="","",IF(COUNTIF('用胶项目'!$A$8:$A$207,B162)&lt;&gt;1,"编号缺失或重复",INDEX('用胶项目'!$B$8:$B$207,MATCH(B162,'用胶项目'!$A$8:$A$207,0))))</f>
        <v/>
      </c>
      <c r="D162" s="32" t="n"/>
      <c r="E162" s="10" t="n"/>
      <c r="F162" s="38" t="n"/>
      <c r="G162" s="10" t="n"/>
      <c r="H162" s="10" t="n"/>
      <c r="I162" s="10" t="n"/>
      <c r="J162" s="33" t="n"/>
      <c r="K162" s="32" t="n"/>
      <c r="L162" s="33" t="n"/>
      <c r="M162" s="32" t="n"/>
      <c r="N162" s="33" t="n"/>
      <c r="O162" s="10" t="n"/>
      <c r="P162" s="10" t="n"/>
      <c r="Q162" s="10" t="n"/>
      <c r="R162" s="10" t="n"/>
      <c r="S162" s="10" t="n"/>
      <c r="T162" s="32" t="n"/>
      <c r="U162" s="32" t="n"/>
      <c r="V162" s="16">
        <f>IF(A162="","",IF(OR(COUNTIF($A$8:$A$207,A162)&lt;&gt;1,COUNTIF('用胶项目'!$A$8:$A$207,B162)&lt;&gt;1,AND(D162&lt;&gt;"",COUNTIF('联系人'!$A$8:$A$207,D162)&lt;&gt;1),AND(M162&lt;&gt;"",COUNTIF('联系人'!$A$8:$A$207,M162)&lt;&gt;1),AND(T162&lt;&gt;"",COUNTIF('跟进待办'!$A$8:$A$207,T162)&lt;&gt;1),AND(U162&lt;&gt;"",COUNTIF('沟通记录'!$A$8:$A$207,U162)&lt;&gt;1)),"检查编号或关联","正常"))</f>
        <v/>
      </c>
    </row>
    <row r="163" ht="34" customHeight="1">
      <c r="A163" s="32" t="n"/>
      <c r="B163" s="32" t="n"/>
      <c r="C163" s="34">
        <f>IF(B163="","",IF(COUNTIF('用胶项目'!$A$8:$A$207,B163)&lt;&gt;1,"编号缺失或重复",INDEX('用胶项目'!$B$8:$B$207,MATCH(B163,'用胶项目'!$A$8:$A$207,0))))</f>
        <v/>
      </c>
      <c r="D163" s="32" t="n"/>
      <c r="E163" s="10" t="n"/>
      <c r="F163" s="38" t="n"/>
      <c r="G163" s="10" t="n"/>
      <c r="H163" s="10" t="n"/>
      <c r="I163" s="10" t="n"/>
      <c r="J163" s="33" t="n"/>
      <c r="K163" s="32" t="n"/>
      <c r="L163" s="33" t="n"/>
      <c r="M163" s="32" t="n"/>
      <c r="N163" s="33" t="n"/>
      <c r="O163" s="10" t="n"/>
      <c r="P163" s="10" t="n"/>
      <c r="Q163" s="10" t="n"/>
      <c r="R163" s="10" t="n"/>
      <c r="S163" s="10" t="n"/>
      <c r="T163" s="32" t="n"/>
      <c r="U163" s="32" t="n"/>
      <c r="V163" s="16">
        <f>IF(A163="","",IF(OR(COUNTIF($A$8:$A$207,A163)&lt;&gt;1,COUNTIF('用胶项目'!$A$8:$A$207,B163)&lt;&gt;1,AND(D163&lt;&gt;"",COUNTIF('联系人'!$A$8:$A$207,D163)&lt;&gt;1),AND(M163&lt;&gt;"",COUNTIF('联系人'!$A$8:$A$207,M163)&lt;&gt;1),AND(T163&lt;&gt;"",COUNTIF('跟进待办'!$A$8:$A$207,T163)&lt;&gt;1),AND(U163&lt;&gt;"",COUNTIF('沟通记录'!$A$8:$A$207,U163)&lt;&gt;1)),"检查编号或关联","正常"))</f>
        <v/>
      </c>
    </row>
    <row r="164" ht="34" customHeight="1">
      <c r="A164" s="32" t="n"/>
      <c r="B164" s="32" t="n"/>
      <c r="C164" s="34">
        <f>IF(B164="","",IF(COUNTIF('用胶项目'!$A$8:$A$207,B164)&lt;&gt;1,"编号缺失或重复",INDEX('用胶项目'!$B$8:$B$207,MATCH(B164,'用胶项目'!$A$8:$A$207,0))))</f>
        <v/>
      </c>
      <c r="D164" s="32" t="n"/>
      <c r="E164" s="10" t="n"/>
      <c r="F164" s="38" t="n"/>
      <c r="G164" s="10" t="n"/>
      <c r="H164" s="10" t="n"/>
      <c r="I164" s="10" t="n"/>
      <c r="J164" s="33" t="n"/>
      <c r="K164" s="32" t="n"/>
      <c r="L164" s="33" t="n"/>
      <c r="M164" s="32" t="n"/>
      <c r="N164" s="33" t="n"/>
      <c r="O164" s="10" t="n"/>
      <c r="P164" s="10" t="n"/>
      <c r="Q164" s="10" t="n"/>
      <c r="R164" s="10" t="n"/>
      <c r="S164" s="10" t="n"/>
      <c r="T164" s="32" t="n"/>
      <c r="U164" s="32" t="n"/>
      <c r="V164" s="16">
        <f>IF(A164="","",IF(OR(COUNTIF($A$8:$A$207,A164)&lt;&gt;1,COUNTIF('用胶项目'!$A$8:$A$207,B164)&lt;&gt;1,AND(D164&lt;&gt;"",COUNTIF('联系人'!$A$8:$A$207,D164)&lt;&gt;1),AND(M164&lt;&gt;"",COUNTIF('联系人'!$A$8:$A$207,M164)&lt;&gt;1),AND(T164&lt;&gt;"",COUNTIF('跟进待办'!$A$8:$A$207,T164)&lt;&gt;1),AND(U164&lt;&gt;"",COUNTIF('沟通记录'!$A$8:$A$207,U164)&lt;&gt;1)),"检查编号或关联","正常"))</f>
        <v/>
      </c>
    </row>
    <row r="165" ht="34" customHeight="1">
      <c r="A165" s="32" t="n"/>
      <c r="B165" s="32" t="n"/>
      <c r="C165" s="34">
        <f>IF(B165="","",IF(COUNTIF('用胶项目'!$A$8:$A$207,B165)&lt;&gt;1,"编号缺失或重复",INDEX('用胶项目'!$B$8:$B$207,MATCH(B165,'用胶项目'!$A$8:$A$207,0))))</f>
        <v/>
      </c>
      <c r="D165" s="32" t="n"/>
      <c r="E165" s="10" t="n"/>
      <c r="F165" s="38" t="n"/>
      <c r="G165" s="10" t="n"/>
      <c r="H165" s="10" t="n"/>
      <c r="I165" s="10" t="n"/>
      <c r="J165" s="33" t="n"/>
      <c r="K165" s="32" t="n"/>
      <c r="L165" s="33" t="n"/>
      <c r="M165" s="32" t="n"/>
      <c r="N165" s="33" t="n"/>
      <c r="O165" s="10" t="n"/>
      <c r="P165" s="10" t="n"/>
      <c r="Q165" s="10" t="n"/>
      <c r="R165" s="10" t="n"/>
      <c r="S165" s="10" t="n"/>
      <c r="T165" s="32" t="n"/>
      <c r="U165" s="32" t="n"/>
      <c r="V165" s="16">
        <f>IF(A165="","",IF(OR(COUNTIF($A$8:$A$207,A165)&lt;&gt;1,COUNTIF('用胶项目'!$A$8:$A$207,B165)&lt;&gt;1,AND(D165&lt;&gt;"",COUNTIF('联系人'!$A$8:$A$207,D165)&lt;&gt;1),AND(M165&lt;&gt;"",COUNTIF('联系人'!$A$8:$A$207,M165)&lt;&gt;1),AND(T165&lt;&gt;"",COUNTIF('跟进待办'!$A$8:$A$207,T165)&lt;&gt;1),AND(U165&lt;&gt;"",COUNTIF('沟通记录'!$A$8:$A$207,U165)&lt;&gt;1)),"检查编号或关联","正常"))</f>
        <v/>
      </c>
    </row>
    <row r="166" ht="34" customHeight="1">
      <c r="A166" s="32" t="n"/>
      <c r="B166" s="32" t="n"/>
      <c r="C166" s="34">
        <f>IF(B166="","",IF(COUNTIF('用胶项目'!$A$8:$A$207,B166)&lt;&gt;1,"编号缺失或重复",INDEX('用胶项目'!$B$8:$B$207,MATCH(B166,'用胶项目'!$A$8:$A$207,0))))</f>
        <v/>
      </c>
      <c r="D166" s="32" t="n"/>
      <c r="E166" s="10" t="n"/>
      <c r="F166" s="38" t="n"/>
      <c r="G166" s="10" t="n"/>
      <c r="H166" s="10" t="n"/>
      <c r="I166" s="10" t="n"/>
      <c r="J166" s="33" t="n"/>
      <c r="K166" s="32" t="n"/>
      <c r="L166" s="33" t="n"/>
      <c r="M166" s="32" t="n"/>
      <c r="N166" s="33" t="n"/>
      <c r="O166" s="10" t="n"/>
      <c r="P166" s="10" t="n"/>
      <c r="Q166" s="10" t="n"/>
      <c r="R166" s="10" t="n"/>
      <c r="S166" s="10" t="n"/>
      <c r="T166" s="32" t="n"/>
      <c r="U166" s="32" t="n"/>
      <c r="V166" s="16">
        <f>IF(A166="","",IF(OR(COUNTIF($A$8:$A$207,A166)&lt;&gt;1,COUNTIF('用胶项目'!$A$8:$A$207,B166)&lt;&gt;1,AND(D166&lt;&gt;"",COUNTIF('联系人'!$A$8:$A$207,D166)&lt;&gt;1),AND(M166&lt;&gt;"",COUNTIF('联系人'!$A$8:$A$207,M166)&lt;&gt;1),AND(T166&lt;&gt;"",COUNTIF('跟进待办'!$A$8:$A$207,T166)&lt;&gt;1),AND(U166&lt;&gt;"",COUNTIF('沟通记录'!$A$8:$A$207,U166)&lt;&gt;1)),"检查编号或关联","正常"))</f>
        <v/>
      </c>
    </row>
    <row r="167" ht="34" customHeight="1">
      <c r="A167" s="32" t="n"/>
      <c r="B167" s="32" t="n"/>
      <c r="C167" s="34">
        <f>IF(B167="","",IF(COUNTIF('用胶项目'!$A$8:$A$207,B167)&lt;&gt;1,"编号缺失或重复",INDEX('用胶项目'!$B$8:$B$207,MATCH(B167,'用胶项目'!$A$8:$A$207,0))))</f>
        <v/>
      </c>
      <c r="D167" s="32" t="n"/>
      <c r="E167" s="10" t="n"/>
      <c r="F167" s="38" t="n"/>
      <c r="G167" s="10" t="n"/>
      <c r="H167" s="10" t="n"/>
      <c r="I167" s="10" t="n"/>
      <c r="J167" s="33" t="n"/>
      <c r="K167" s="32" t="n"/>
      <c r="L167" s="33" t="n"/>
      <c r="M167" s="32" t="n"/>
      <c r="N167" s="33" t="n"/>
      <c r="O167" s="10" t="n"/>
      <c r="P167" s="10" t="n"/>
      <c r="Q167" s="10" t="n"/>
      <c r="R167" s="10" t="n"/>
      <c r="S167" s="10" t="n"/>
      <c r="T167" s="32" t="n"/>
      <c r="U167" s="32" t="n"/>
      <c r="V167" s="16">
        <f>IF(A167="","",IF(OR(COUNTIF($A$8:$A$207,A167)&lt;&gt;1,COUNTIF('用胶项目'!$A$8:$A$207,B167)&lt;&gt;1,AND(D167&lt;&gt;"",COUNTIF('联系人'!$A$8:$A$207,D167)&lt;&gt;1),AND(M167&lt;&gt;"",COUNTIF('联系人'!$A$8:$A$207,M167)&lt;&gt;1),AND(T167&lt;&gt;"",COUNTIF('跟进待办'!$A$8:$A$207,T167)&lt;&gt;1),AND(U167&lt;&gt;"",COUNTIF('沟通记录'!$A$8:$A$207,U167)&lt;&gt;1)),"检查编号或关联","正常"))</f>
        <v/>
      </c>
    </row>
    <row r="168" ht="34" customHeight="1">
      <c r="A168" s="32" t="n"/>
      <c r="B168" s="32" t="n"/>
      <c r="C168" s="34">
        <f>IF(B168="","",IF(COUNTIF('用胶项目'!$A$8:$A$207,B168)&lt;&gt;1,"编号缺失或重复",INDEX('用胶项目'!$B$8:$B$207,MATCH(B168,'用胶项目'!$A$8:$A$207,0))))</f>
        <v/>
      </c>
      <c r="D168" s="32" t="n"/>
      <c r="E168" s="10" t="n"/>
      <c r="F168" s="38" t="n"/>
      <c r="G168" s="10" t="n"/>
      <c r="H168" s="10" t="n"/>
      <c r="I168" s="10" t="n"/>
      <c r="J168" s="33" t="n"/>
      <c r="K168" s="32" t="n"/>
      <c r="L168" s="33" t="n"/>
      <c r="M168" s="32" t="n"/>
      <c r="N168" s="33" t="n"/>
      <c r="O168" s="10" t="n"/>
      <c r="P168" s="10" t="n"/>
      <c r="Q168" s="10" t="n"/>
      <c r="R168" s="10" t="n"/>
      <c r="S168" s="10" t="n"/>
      <c r="T168" s="32" t="n"/>
      <c r="U168" s="32" t="n"/>
      <c r="V168" s="16">
        <f>IF(A168="","",IF(OR(COUNTIF($A$8:$A$207,A168)&lt;&gt;1,COUNTIF('用胶项目'!$A$8:$A$207,B168)&lt;&gt;1,AND(D168&lt;&gt;"",COUNTIF('联系人'!$A$8:$A$207,D168)&lt;&gt;1),AND(M168&lt;&gt;"",COUNTIF('联系人'!$A$8:$A$207,M168)&lt;&gt;1),AND(T168&lt;&gt;"",COUNTIF('跟进待办'!$A$8:$A$207,T168)&lt;&gt;1),AND(U168&lt;&gt;"",COUNTIF('沟通记录'!$A$8:$A$207,U168)&lt;&gt;1)),"检查编号或关联","正常"))</f>
        <v/>
      </c>
    </row>
    <row r="169" ht="34" customHeight="1">
      <c r="A169" s="32" t="n"/>
      <c r="B169" s="32" t="n"/>
      <c r="C169" s="34">
        <f>IF(B169="","",IF(COUNTIF('用胶项目'!$A$8:$A$207,B169)&lt;&gt;1,"编号缺失或重复",INDEX('用胶项目'!$B$8:$B$207,MATCH(B169,'用胶项目'!$A$8:$A$207,0))))</f>
        <v/>
      </c>
      <c r="D169" s="32" t="n"/>
      <c r="E169" s="10" t="n"/>
      <c r="F169" s="38" t="n"/>
      <c r="G169" s="10" t="n"/>
      <c r="H169" s="10" t="n"/>
      <c r="I169" s="10" t="n"/>
      <c r="J169" s="33" t="n"/>
      <c r="K169" s="32" t="n"/>
      <c r="L169" s="33" t="n"/>
      <c r="M169" s="32" t="n"/>
      <c r="N169" s="33" t="n"/>
      <c r="O169" s="10" t="n"/>
      <c r="P169" s="10" t="n"/>
      <c r="Q169" s="10" t="n"/>
      <c r="R169" s="10" t="n"/>
      <c r="S169" s="10" t="n"/>
      <c r="T169" s="32" t="n"/>
      <c r="U169" s="32" t="n"/>
      <c r="V169" s="16">
        <f>IF(A169="","",IF(OR(COUNTIF($A$8:$A$207,A169)&lt;&gt;1,COUNTIF('用胶项目'!$A$8:$A$207,B169)&lt;&gt;1,AND(D169&lt;&gt;"",COUNTIF('联系人'!$A$8:$A$207,D169)&lt;&gt;1),AND(M169&lt;&gt;"",COUNTIF('联系人'!$A$8:$A$207,M169)&lt;&gt;1),AND(T169&lt;&gt;"",COUNTIF('跟进待办'!$A$8:$A$207,T169)&lt;&gt;1),AND(U169&lt;&gt;"",COUNTIF('沟通记录'!$A$8:$A$207,U169)&lt;&gt;1)),"检查编号或关联","正常"))</f>
        <v/>
      </c>
    </row>
    <row r="170" ht="34" customHeight="1">
      <c r="A170" s="32" t="n"/>
      <c r="B170" s="32" t="n"/>
      <c r="C170" s="34">
        <f>IF(B170="","",IF(COUNTIF('用胶项目'!$A$8:$A$207,B170)&lt;&gt;1,"编号缺失或重复",INDEX('用胶项目'!$B$8:$B$207,MATCH(B170,'用胶项目'!$A$8:$A$207,0))))</f>
        <v/>
      </c>
      <c r="D170" s="32" t="n"/>
      <c r="E170" s="10" t="n"/>
      <c r="F170" s="38" t="n"/>
      <c r="G170" s="10" t="n"/>
      <c r="H170" s="10" t="n"/>
      <c r="I170" s="10" t="n"/>
      <c r="J170" s="33" t="n"/>
      <c r="K170" s="32" t="n"/>
      <c r="L170" s="33" t="n"/>
      <c r="M170" s="32" t="n"/>
      <c r="N170" s="33" t="n"/>
      <c r="O170" s="10" t="n"/>
      <c r="P170" s="10" t="n"/>
      <c r="Q170" s="10" t="n"/>
      <c r="R170" s="10" t="n"/>
      <c r="S170" s="10" t="n"/>
      <c r="T170" s="32" t="n"/>
      <c r="U170" s="32" t="n"/>
      <c r="V170" s="16">
        <f>IF(A170="","",IF(OR(COUNTIF($A$8:$A$207,A170)&lt;&gt;1,COUNTIF('用胶项目'!$A$8:$A$207,B170)&lt;&gt;1,AND(D170&lt;&gt;"",COUNTIF('联系人'!$A$8:$A$207,D170)&lt;&gt;1),AND(M170&lt;&gt;"",COUNTIF('联系人'!$A$8:$A$207,M170)&lt;&gt;1),AND(T170&lt;&gt;"",COUNTIF('跟进待办'!$A$8:$A$207,T170)&lt;&gt;1),AND(U170&lt;&gt;"",COUNTIF('沟通记录'!$A$8:$A$207,U170)&lt;&gt;1)),"检查编号或关联","正常"))</f>
        <v/>
      </c>
    </row>
    <row r="171" ht="34" customHeight="1">
      <c r="A171" s="32" t="n"/>
      <c r="B171" s="32" t="n"/>
      <c r="C171" s="34">
        <f>IF(B171="","",IF(COUNTIF('用胶项目'!$A$8:$A$207,B171)&lt;&gt;1,"编号缺失或重复",INDEX('用胶项目'!$B$8:$B$207,MATCH(B171,'用胶项目'!$A$8:$A$207,0))))</f>
        <v/>
      </c>
      <c r="D171" s="32" t="n"/>
      <c r="E171" s="10" t="n"/>
      <c r="F171" s="38" t="n"/>
      <c r="G171" s="10" t="n"/>
      <c r="H171" s="10" t="n"/>
      <c r="I171" s="10" t="n"/>
      <c r="J171" s="33" t="n"/>
      <c r="K171" s="32" t="n"/>
      <c r="L171" s="33" t="n"/>
      <c r="M171" s="32" t="n"/>
      <c r="N171" s="33" t="n"/>
      <c r="O171" s="10" t="n"/>
      <c r="P171" s="10" t="n"/>
      <c r="Q171" s="10" t="n"/>
      <c r="R171" s="10" t="n"/>
      <c r="S171" s="10" t="n"/>
      <c r="T171" s="32" t="n"/>
      <c r="U171" s="32" t="n"/>
      <c r="V171" s="16">
        <f>IF(A171="","",IF(OR(COUNTIF($A$8:$A$207,A171)&lt;&gt;1,COUNTIF('用胶项目'!$A$8:$A$207,B171)&lt;&gt;1,AND(D171&lt;&gt;"",COUNTIF('联系人'!$A$8:$A$207,D171)&lt;&gt;1),AND(M171&lt;&gt;"",COUNTIF('联系人'!$A$8:$A$207,M171)&lt;&gt;1),AND(T171&lt;&gt;"",COUNTIF('跟进待办'!$A$8:$A$207,T171)&lt;&gt;1),AND(U171&lt;&gt;"",COUNTIF('沟通记录'!$A$8:$A$207,U171)&lt;&gt;1)),"检查编号或关联","正常"))</f>
        <v/>
      </c>
    </row>
    <row r="172" ht="34" customHeight="1">
      <c r="A172" s="32" t="n"/>
      <c r="B172" s="32" t="n"/>
      <c r="C172" s="34">
        <f>IF(B172="","",IF(COUNTIF('用胶项目'!$A$8:$A$207,B172)&lt;&gt;1,"编号缺失或重复",INDEX('用胶项目'!$B$8:$B$207,MATCH(B172,'用胶项目'!$A$8:$A$207,0))))</f>
        <v/>
      </c>
      <c r="D172" s="32" t="n"/>
      <c r="E172" s="10" t="n"/>
      <c r="F172" s="38" t="n"/>
      <c r="G172" s="10" t="n"/>
      <c r="H172" s="10" t="n"/>
      <c r="I172" s="10" t="n"/>
      <c r="J172" s="33" t="n"/>
      <c r="K172" s="32" t="n"/>
      <c r="L172" s="33" t="n"/>
      <c r="M172" s="32" t="n"/>
      <c r="N172" s="33" t="n"/>
      <c r="O172" s="10" t="n"/>
      <c r="P172" s="10" t="n"/>
      <c r="Q172" s="10" t="n"/>
      <c r="R172" s="10" t="n"/>
      <c r="S172" s="10" t="n"/>
      <c r="T172" s="32" t="n"/>
      <c r="U172" s="32" t="n"/>
      <c r="V172" s="16">
        <f>IF(A172="","",IF(OR(COUNTIF($A$8:$A$207,A172)&lt;&gt;1,COUNTIF('用胶项目'!$A$8:$A$207,B172)&lt;&gt;1,AND(D172&lt;&gt;"",COUNTIF('联系人'!$A$8:$A$207,D172)&lt;&gt;1),AND(M172&lt;&gt;"",COUNTIF('联系人'!$A$8:$A$207,M172)&lt;&gt;1),AND(T172&lt;&gt;"",COUNTIF('跟进待办'!$A$8:$A$207,T172)&lt;&gt;1),AND(U172&lt;&gt;"",COUNTIF('沟通记录'!$A$8:$A$207,U172)&lt;&gt;1)),"检查编号或关联","正常"))</f>
        <v/>
      </c>
    </row>
    <row r="173" ht="34" customHeight="1">
      <c r="A173" s="32" t="n"/>
      <c r="B173" s="32" t="n"/>
      <c r="C173" s="34">
        <f>IF(B173="","",IF(COUNTIF('用胶项目'!$A$8:$A$207,B173)&lt;&gt;1,"编号缺失或重复",INDEX('用胶项目'!$B$8:$B$207,MATCH(B173,'用胶项目'!$A$8:$A$207,0))))</f>
        <v/>
      </c>
      <c r="D173" s="32" t="n"/>
      <c r="E173" s="10" t="n"/>
      <c r="F173" s="38" t="n"/>
      <c r="G173" s="10" t="n"/>
      <c r="H173" s="10" t="n"/>
      <c r="I173" s="10" t="n"/>
      <c r="J173" s="33" t="n"/>
      <c r="K173" s="32" t="n"/>
      <c r="L173" s="33" t="n"/>
      <c r="M173" s="32" t="n"/>
      <c r="N173" s="33" t="n"/>
      <c r="O173" s="10" t="n"/>
      <c r="P173" s="10" t="n"/>
      <c r="Q173" s="10" t="n"/>
      <c r="R173" s="10" t="n"/>
      <c r="S173" s="10" t="n"/>
      <c r="T173" s="32" t="n"/>
      <c r="U173" s="32" t="n"/>
      <c r="V173" s="16">
        <f>IF(A173="","",IF(OR(COUNTIF($A$8:$A$207,A173)&lt;&gt;1,COUNTIF('用胶项目'!$A$8:$A$207,B173)&lt;&gt;1,AND(D173&lt;&gt;"",COUNTIF('联系人'!$A$8:$A$207,D173)&lt;&gt;1),AND(M173&lt;&gt;"",COUNTIF('联系人'!$A$8:$A$207,M173)&lt;&gt;1),AND(T173&lt;&gt;"",COUNTIF('跟进待办'!$A$8:$A$207,T173)&lt;&gt;1),AND(U173&lt;&gt;"",COUNTIF('沟通记录'!$A$8:$A$207,U173)&lt;&gt;1)),"检查编号或关联","正常"))</f>
        <v/>
      </c>
    </row>
    <row r="174" ht="34" customHeight="1">
      <c r="A174" s="32" t="n"/>
      <c r="B174" s="32" t="n"/>
      <c r="C174" s="34">
        <f>IF(B174="","",IF(COUNTIF('用胶项目'!$A$8:$A$207,B174)&lt;&gt;1,"编号缺失或重复",INDEX('用胶项目'!$B$8:$B$207,MATCH(B174,'用胶项目'!$A$8:$A$207,0))))</f>
        <v/>
      </c>
      <c r="D174" s="32" t="n"/>
      <c r="E174" s="10" t="n"/>
      <c r="F174" s="38" t="n"/>
      <c r="G174" s="10" t="n"/>
      <c r="H174" s="10" t="n"/>
      <c r="I174" s="10" t="n"/>
      <c r="J174" s="33" t="n"/>
      <c r="K174" s="32" t="n"/>
      <c r="L174" s="33" t="n"/>
      <c r="M174" s="32" t="n"/>
      <c r="N174" s="33" t="n"/>
      <c r="O174" s="10" t="n"/>
      <c r="P174" s="10" t="n"/>
      <c r="Q174" s="10" t="n"/>
      <c r="R174" s="10" t="n"/>
      <c r="S174" s="10" t="n"/>
      <c r="T174" s="32" t="n"/>
      <c r="U174" s="32" t="n"/>
      <c r="V174" s="16">
        <f>IF(A174="","",IF(OR(COUNTIF($A$8:$A$207,A174)&lt;&gt;1,COUNTIF('用胶项目'!$A$8:$A$207,B174)&lt;&gt;1,AND(D174&lt;&gt;"",COUNTIF('联系人'!$A$8:$A$207,D174)&lt;&gt;1),AND(M174&lt;&gt;"",COUNTIF('联系人'!$A$8:$A$207,M174)&lt;&gt;1),AND(T174&lt;&gt;"",COUNTIF('跟进待办'!$A$8:$A$207,T174)&lt;&gt;1),AND(U174&lt;&gt;"",COUNTIF('沟通记录'!$A$8:$A$207,U174)&lt;&gt;1)),"检查编号或关联","正常"))</f>
        <v/>
      </c>
    </row>
    <row r="175" ht="34" customHeight="1">
      <c r="A175" s="32" t="n"/>
      <c r="B175" s="32" t="n"/>
      <c r="C175" s="34">
        <f>IF(B175="","",IF(COUNTIF('用胶项目'!$A$8:$A$207,B175)&lt;&gt;1,"编号缺失或重复",INDEX('用胶项目'!$B$8:$B$207,MATCH(B175,'用胶项目'!$A$8:$A$207,0))))</f>
        <v/>
      </c>
      <c r="D175" s="32" t="n"/>
      <c r="E175" s="10" t="n"/>
      <c r="F175" s="38" t="n"/>
      <c r="G175" s="10" t="n"/>
      <c r="H175" s="10" t="n"/>
      <c r="I175" s="10" t="n"/>
      <c r="J175" s="33" t="n"/>
      <c r="K175" s="32" t="n"/>
      <c r="L175" s="33" t="n"/>
      <c r="M175" s="32" t="n"/>
      <c r="N175" s="33" t="n"/>
      <c r="O175" s="10" t="n"/>
      <c r="P175" s="10" t="n"/>
      <c r="Q175" s="10" t="n"/>
      <c r="R175" s="10" t="n"/>
      <c r="S175" s="10" t="n"/>
      <c r="T175" s="32" t="n"/>
      <c r="U175" s="32" t="n"/>
      <c r="V175" s="16">
        <f>IF(A175="","",IF(OR(COUNTIF($A$8:$A$207,A175)&lt;&gt;1,COUNTIF('用胶项目'!$A$8:$A$207,B175)&lt;&gt;1,AND(D175&lt;&gt;"",COUNTIF('联系人'!$A$8:$A$207,D175)&lt;&gt;1),AND(M175&lt;&gt;"",COUNTIF('联系人'!$A$8:$A$207,M175)&lt;&gt;1),AND(T175&lt;&gt;"",COUNTIF('跟进待办'!$A$8:$A$207,T175)&lt;&gt;1),AND(U175&lt;&gt;"",COUNTIF('沟通记录'!$A$8:$A$207,U175)&lt;&gt;1)),"检查编号或关联","正常"))</f>
        <v/>
      </c>
    </row>
    <row r="176" ht="34" customHeight="1">
      <c r="A176" s="32" t="n"/>
      <c r="B176" s="32" t="n"/>
      <c r="C176" s="34">
        <f>IF(B176="","",IF(COUNTIF('用胶项目'!$A$8:$A$207,B176)&lt;&gt;1,"编号缺失或重复",INDEX('用胶项目'!$B$8:$B$207,MATCH(B176,'用胶项目'!$A$8:$A$207,0))))</f>
        <v/>
      </c>
      <c r="D176" s="32" t="n"/>
      <c r="E176" s="10" t="n"/>
      <c r="F176" s="38" t="n"/>
      <c r="G176" s="10" t="n"/>
      <c r="H176" s="10" t="n"/>
      <c r="I176" s="10" t="n"/>
      <c r="J176" s="33" t="n"/>
      <c r="K176" s="32" t="n"/>
      <c r="L176" s="33" t="n"/>
      <c r="M176" s="32" t="n"/>
      <c r="N176" s="33" t="n"/>
      <c r="O176" s="10" t="n"/>
      <c r="P176" s="10" t="n"/>
      <c r="Q176" s="10" t="n"/>
      <c r="R176" s="10" t="n"/>
      <c r="S176" s="10" t="n"/>
      <c r="T176" s="32" t="n"/>
      <c r="U176" s="32" t="n"/>
      <c r="V176" s="16">
        <f>IF(A176="","",IF(OR(COUNTIF($A$8:$A$207,A176)&lt;&gt;1,COUNTIF('用胶项目'!$A$8:$A$207,B176)&lt;&gt;1,AND(D176&lt;&gt;"",COUNTIF('联系人'!$A$8:$A$207,D176)&lt;&gt;1),AND(M176&lt;&gt;"",COUNTIF('联系人'!$A$8:$A$207,M176)&lt;&gt;1),AND(T176&lt;&gt;"",COUNTIF('跟进待办'!$A$8:$A$207,T176)&lt;&gt;1),AND(U176&lt;&gt;"",COUNTIF('沟通记录'!$A$8:$A$207,U176)&lt;&gt;1)),"检查编号或关联","正常"))</f>
        <v/>
      </c>
    </row>
    <row r="177" ht="34" customHeight="1">
      <c r="A177" s="32" t="n"/>
      <c r="B177" s="32" t="n"/>
      <c r="C177" s="34">
        <f>IF(B177="","",IF(COUNTIF('用胶项目'!$A$8:$A$207,B177)&lt;&gt;1,"编号缺失或重复",INDEX('用胶项目'!$B$8:$B$207,MATCH(B177,'用胶项目'!$A$8:$A$207,0))))</f>
        <v/>
      </c>
      <c r="D177" s="32" t="n"/>
      <c r="E177" s="10" t="n"/>
      <c r="F177" s="38" t="n"/>
      <c r="G177" s="10" t="n"/>
      <c r="H177" s="10" t="n"/>
      <c r="I177" s="10" t="n"/>
      <c r="J177" s="33" t="n"/>
      <c r="K177" s="32" t="n"/>
      <c r="L177" s="33" t="n"/>
      <c r="M177" s="32" t="n"/>
      <c r="N177" s="33" t="n"/>
      <c r="O177" s="10" t="n"/>
      <c r="P177" s="10" t="n"/>
      <c r="Q177" s="10" t="n"/>
      <c r="R177" s="10" t="n"/>
      <c r="S177" s="10" t="n"/>
      <c r="T177" s="32" t="n"/>
      <c r="U177" s="32" t="n"/>
      <c r="V177" s="16">
        <f>IF(A177="","",IF(OR(COUNTIF($A$8:$A$207,A177)&lt;&gt;1,COUNTIF('用胶项目'!$A$8:$A$207,B177)&lt;&gt;1,AND(D177&lt;&gt;"",COUNTIF('联系人'!$A$8:$A$207,D177)&lt;&gt;1),AND(M177&lt;&gt;"",COUNTIF('联系人'!$A$8:$A$207,M177)&lt;&gt;1),AND(T177&lt;&gt;"",COUNTIF('跟进待办'!$A$8:$A$207,T177)&lt;&gt;1),AND(U177&lt;&gt;"",COUNTIF('沟通记录'!$A$8:$A$207,U177)&lt;&gt;1)),"检查编号或关联","正常"))</f>
        <v/>
      </c>
    </row>
    <row r="178" ht="34" customHeight="1">
      <c r="A178" s="32" t="n"/>
      <c r="B178" s="32" t="n"/>
      <c r="C178" s="34">
        <f>IF(B178="","",IF(COUNTIF('用胶项目'!$A$8:$A$207,B178)&lt;&gt;1,"编号缺失或重复",INDEX('用胶项目'!$B$8:$B$207,MATCH(B178,'用胶项目'!$A$8:$A$207,0))))</f>
        <v/>
      </c>
      <c r="D178" s="32" t="n"/>
      <c r="E178" s="10" t="n"/>
      <c r="F178" s="38" t="n"/>
      <c r="G178" s="10" t="n"/>
      <c r="H178" s="10" t="n"/>
      <c r="I178" s="10" t="n"/>
      <c r="J178" s="33" t="n"/>
      <c r="K178" s="32" t="n"/>
      <c r="L178" s="33" t="n"/>
      <c r="M178" s="32" t="n"/>
      <c r="N178" s="33" t="n"/>
      <c r="O178" s="10" t="n"/>
      <c r="P178" s="10" t="n"/>
      <c r="Q178" s="10" t="n"/>
      <c r="R178" s="10" t="n"/>
      <c r="S178" s="10" t="n"/>
      <c r="T178" s="32" t="n"/>
      <c r="U178" s="32" t="n"/>
      <c r="V178" s="16">
        <f>IF(A178="","",IF(OR(COUNTIF($A$8:$A$207,A178)&lt;&gt;1,COUNTIF('用胶项目'!$A$8:$A$207,B178)&lt;&gt;1,AND(D178&lt;&gt;"",COUNTIF('联系人'!$A$8:$A$207,D178)&lt;&gt;1),AND(M178&lt;&gt;"",COUNTIF('联系人'!$A$8:$A$207,M178)&lt;&gt;1),AND(T178&lt;&gt;"",COUNTIF('跟进待办'!$A$8:$A$207,T178)&lt;&gt;1),AND(U178&lt;&gt;"",COUNTIF('沟通记录'!$A$8:$A$207,U178)&lt;&gt;1)),"检查编号或关联","正常"))</f>
        <v/>
      </c>
    </row>
    <row r="179" ht="34" customHeight="1">
      <c r="A179" s="32" t="n"/>
      <c r="B179" s="32" t="n"/>
      <c r="C179" s="34">
        <f>IF(B179="","",IF(COUNTIF('用胶项目'!$A$8:$A$207,B179)&lt;&gt;1,"编号缺失或重复",INDEX('用胶项目'!$B$8:$B$207,MATCH(B179,'用胶项目'!$A$8:$A$207,0))))</f>
        <v/>
      </c>
      <c r="D179" s="32" t="n"/>
      <c r="E179" s="10" t="n"/>
      <c r="F179" s="38" t="n"/>
      <c r="G179" s="10" t="n"/>
      <c r="H179" s="10" t="n"/>
      <c r="I179" s="10" t="n"/>
      <c r="J179" s="33" t="n"/>
      <c r="K179" s="32" t="n"/>
      <c r="L179" s="33" t="n"/>
      <c r="M179" s="32" t="n"/>
      <c r="N179" s="33" t="n"/>
      <c r="O179" s="10" t="n"/>
      <c r="P179" s="10" t="n"/>
      <c r="Q179" s="10" t="n"/>
      <c r="R179" s="10" t="n"/>
      <c r="S179" s="10" t="n"/>
      <c r="T179" s="32" t="n"/>
      <c r="U179" s="32" t="n"/>
      <c r="V179" s="16">
        <f>IF(A179="","",IF(OR(COUNTIF($A$8:$A$207,A179)&lt;&gt;1,COUNTIF('用胶项目'!$A$8:$A$207,B179)&lt;&gt;1,AND(D179&lt;&gt;"",COUNTIF('联系人'!$A$8:$A$207,D179)&lt;&gt;1),AND(M179&lt;&gt;"",COUNTIF('联系人'!$A$8:$A$207,M179)&lt;&gt;1),AND(T179&lt;&gt;"",COUNTIF('跟进待办'!$A$8:$A$207,T179)&lt;&gt;1),AND(U179&lt;&gt;"",COUNTIF('沟通记录'!$A$8:$A$207,U179)&lt;&gt;1)),"检查编号或关联","正常"))</f>
        <v/>
      </c>
    </row>
    <row r="180" ht="34" customHeight="1">
      <c r="A180" s="32" t="n"/>
      <c r="B180" s="32" t="n"/>
      <c r="C180" s="34">
        <f>IF(B180="","",IF(COUNTIF('用胶项目'!$A$8:$A$207,B180)&lt;&gt;1,"编号缺失或重复",INDEX('用胶项目'!$B$8:$B$207,MATCH(B180,'用胶项目'!$A$8:$A$207,0))))</f>
        <v/>
      </c>
      <c r="D180" s="32" t="n"/>
      <c r="E180" s="10" t="n"/>
      <c r="F180" s="38" t="n"/>
      <c r="G180" s="10" t="n"/>
      <c r="H180" s="10" t="n"/>
      <c r="I180" s="10" t="n"/>
      <c r="J180" s="33" t="n"/>
      <c r="K180" s="32" t="n"/>
      <c r="L180" s="33" t="n"/>
      <c r="M180" s="32" t="n"/>
      <c r="N180" s="33" t="n"/>
      <c r="O180" s="10" t="n"/>
      <c r="P180" s="10" t="n"/>
      <c r="Q180" s="10" t="n"/>
      <c r="R180" s="10" t="n"/>
      <c r="S180" s="10" t="n"/>
      <c r="T180" s="32" t="n"/>
      <c r="U180" s="32" t="n"/>
      <c r="V180" s="16">
        <f>IF(A180="","",IF(OR(COUNTIF($A$8:$A$207,A180)&lt;&gt;1,COUNTIF('用胶项目'!$A$8:$A$207,B180)&lt;&gt;1,AND(D180&lt;&gt;"",COUNTIF('联系人'!$A$8:$A$207,D180)&lt;&gt;1),AND(M180&lt;&gt;"",COUNTIF('联系人'!$A$8:$A$207,M180)&lt;&gt;1),AND(T180&lt;&gt;"",COUNTIF('跟进待办'!$A$8:$A$207,T180)&lt;&gt;1),AND(U180&lt;&gt;"",COUNTIF('沟通记录'!$A$8:$A$207,U180)&lt;&gt;1)),"检查编号或关联","正常"))</f>
        <v/>
      </c>
    </row>
    <row r="181" ht="34" customHeight="1">
      <c r="A181" s="32" t="n"/>
      <c r="B181" s="32" t="n"/>
      <c r="C181" s="34">
        <f>IF(B181="","",IF(COUNTIF('用胶项目'!$A$8:$A$207,B181)&lt;&gt;1,"编号缺失或重复",INDEX('用胶项目'!$B$8:$B$207,MATCH(B181,'用胶项目'!$A$8:$A$207,0))))</f>
        <v/>
      </c>
      <c r="D181" s="32" t="n"/>
      <c r="E181" s="10" t="n"/>
      <c r="F181" s="38" t="n"/>
      <c r="G181" s="10" t="n"/>
      <c r="H181" s="10" t="n"/>
      <c r="I181" s="10" t="n"/>
      <c r="J181" s="33" t="n"/>
      <c r="K181" s="32" t="n"/>
      <c r="L181" s="33" t="n"/>
      <c r="M181" s="32" t="n"/>
      <c r="N181" s="33" t="n"/>
      <c r="O181" s="10" t="n"/>
      <c r="P181" s="10" t="n"/>
      <c r="Q181" s="10" t="n"/>
      <c r="R181" s="10" t="n"/>
      <c r="S181" s="10" t="n"/>
      <c r="T181" s="32" t="n"/>
      <c r="U181" s="32" t="n"/>
      <c r="V181" s="16">
        <f>IF(A181="","",IF(OR(COUNTIF($A$8:$A$207,A181)&lt;&gt;1,COUNTIF('用胶项目'!$A$8:$A$207,B181)&lt;&gt;1,AND(D181&lt;&gt;"",COUNTIF('联系人'!$A$8:$A$207,D181)&lt;&gt;1),AND(M181&lt;&gt;"",COUNTIF('联系人'!$A$8:$A$207,M181)&lt;&gt;1),AND(T181&lt;&gt;"",COUNTIF('跟进待办'!$A$8:$A$207,T181)&lt;&gt;1),AND(U181&lt;&gt;"",COUNTIF('沟通记录'!$A$8:$A$207,U181)&lt;&gt;1)),"检查编号或关联","正常"))</f>
        <v/>
      </c>
    </row>
    <row r="182" ht="34" customHeight="1">
      <c r="A182" s="32" t="n"/>
      <c r="B182" s="32" t="n"/>
      <c r="C182" s="34">
        <f>IF(B182="","",IF(COUNTIF('用胶项目'!$A$8:$A$207,B182)&lt;&gt;1,"编号缺失或重复",INDEX('用胶项目'!$B$8:$B$207,MATCH(B182,'用胶项目'!$A$8:$A$207,0))))</f>
        <v/>
      </c>
      <c r="D182" s="32" t="n"/>
      <c r="E182" s="10" t="n"/>
      <c r="F182" s="38" t="n"/>
      <c r="G182" s="10" t="n"/>
      <c r="H182" s="10" t="n"/>
      <c r="I182" s="10" t="n"/>
      <c r="J182" s="33" t="n"/>
      <c r="K182" s="32" t="n"/>
      <c r="L182" s="33" t="n"/>
      <c r="M182" s="32" t="n"/>
      <c r="N182" s="33" t="n"/>
      <c r="O182" s="10" t="n"/>
      <c r="P182" s="10" t="n"/>
      <c r="Q182" s="10" t="n"/>
      <c r="R182" s="10" t="n"/>
      <c r="S182" s="10" t="n"/>
      <c r="T182" s="32" t="n"/>
      <c r="U182" s="32" t="n"/>
      <c r="V182" s="16">
        <f>IF(A182="","",IF(OR(COUNTIF($A$8:$A$207,A182)&lt;&gt;1,COUNTIF('用胶项目'!$A$8:$A$207,B182)&lt;&gt;1,AND(D182&lt;&gt;"",COUNTIF('联系人'!$A$8:$A$207,D182)&lt;&gt;1),AND(M182&lt;&gt;"",COUNTIF('联系人'!$A$8:$A$207,M182)&lt;&gt;1),AND(T182&lt;&gt;"",COUNTIF('跟进待办'!$A$8:$A$207,T182)&lt;&gt;1),AND(U182&lt;&gt;"",COUNTIF('沟通记录'!$A$8:$A$207,U182)&lt;&gt;1)),"检查编号或关联","正常"))</f>
        <v/>
      </c>
    </row>
    <row r="183" ht="34" customHeight="1">
      <c r="A183" s="32" t="n"/>
      <c r="B183" s="32" t="n"/>
      <c r="C183" s="34">
        <f>IF(B183="","",IF(COUNTIF('用胶项目'!$A$8:$A$207,B183)&lt;&gt;1,"编号缺失或重复",INDEX('用胶项目'!$B$8:$B$207,MATCH(B183,'用胶项目'!$A$8:$A$207,0))))</f>
        <v/>
      </c>
      <c r="D183" s="32" t="n"/>
      <c r="E183" s="10" t="n"/>
      <c r="F183" s="38" t="n"/>
      <c r="G183" s="10" t="n"/>
      <c r="H183" s="10" t="n"/>
      <c r="I183" s="10" t="n"/>
      <c r="J183" s="33" t="n"/>
      <c r="K183" s="32" t="n"/>
      <c r="L183" s="33" t="n"/>
      <c r="M183" s="32" t="n"/>
      <c r="N183" s="33" t="n"/>
      <c r="O183" s="10" t="n"/>
      <c r="P183" s="10" t="n"/>
      <c r="Q183" s="10" t="n"/>
      <c r="R183" s="10" t="n"/>
      <c r="S183" s="10" t="n"/>
      <c r="T183" s="32" t="n"/>
      <c r="U183" s="32" t="n"/>
      <c r="V183" s="16">
        <f>IF(A183="","",IF(OR(COUNTIF($A$8:$A$207,A183)&lt;&gt;1,COUNTIF('用胶项目'!$A$8:$A$207,B183)&lt;&gt;1,AND(D183&lt;&gt;"",COUNTIF('联系人'!$A$8:$A$207,D183)&lt;&gt;1),AND(M183&lt;&gt;"",COUNTIF('联系人'!$A$8:$A$207,M183)&lt;&gt;1),AND(T183&lt;&gt;"",COUNTIF('跟进待办'!$A$8:$A$207,T183)&lt;&gt;1),AND(U183&lt;&gt;"",COUNTIF('沟通记录'!$A$8:$A$207,U183)&lt;&gt;1)),"检查编号或关联","正常"))</f>
        <v/>
      </c>
    </row>
    <row r="184" ht="34" customHeight="1">
      <c r="A184" s="32" t="n"/>
      <c r="B184" s="32" t="n"/>
      <c r="C184" s="34">
        <f>IF(B184="","",IF(COUNTIF('用胶项目'!$A$8:$A$207,B184)&lt;&gt;1,"编号缺失或重复",INDEX('用胶项目'!$B$8:$B$207,MATCH(B184,'用胶项目'!$A$8:$A$207,0))))</f>
        <v/>
      </c>
      <c r="D184" s="32" t="n"/>
      <c r="E184" s="10" t="n"/>
      <c r="F184" s="38" t="n"/>
      <c r="G184" s="10" t="n"/>
      <c r="H184" s="10" t="n"/>
      <c r="I184" s="10" t="n"/>
      <c r="J184" s="33" t="n"/>
      <c r="K184" s="32" t="n"/>
      <c r="L184" s="33" t="n"/>
      <c r="M184" s="32" t="n"/>
      <c r="N184" s="33" t="n"/>
      <c r="O184" s="10" t="n"/>
      <c r="P184" s="10" t="n"/>
      <c r="Q184" s="10" t="n"/>
      <c r="R184" s="10" t="n"/>
      <c r="S184" s="10" t="n"/>
      <c r="T184" s="32" t="n"/>
      <c r="U184" s="32" t="n"/>
      <c r="V184" s="16">
        <f>IF(A184="","",IF(OR(COUNTIF($A$8:$A$207,A184)&lt;&gt;1,COUNTIF('用胶项目'!$A$8:$A$207,B184)&lt;&gt;1,AND(D184&lt;&gt;"",COUNTIF('联系人'!$A$8:$A$207,D184)&lt;&gt;1),AND(M184&lt;&gt;"",COUNTIF('联系人'!$A$8:$A$207,M184)&lt;&gt;1),AND(T184&lt;&gt;"",COUNTIF('跟进待办'!$A$8:$A$207,T184)&lt;&gt;1),AND(U184&lt;&gt;"",COUNTIF('沟通记录'!$A$8:$A$207,U184)&lt;&gt;1)),"检查编号或关联","正常"))</f>
        <v/>
      </c>
    </row>
    <row r="185" ht="34" customHeight="1">
      <c r="A185" s="32" t="n"/>
      <c r="B185" s="32" t="n"/>
      <c r="C185" s="34">
        <f>IF(B185="","",IF(COUNTIF('用胶项目'!$A$8:$A$207,B185)&lt;&gt;1,"编号缺失或重复",INDEX('用胶项目'!$B$8:$B$207,MATCH(B185,'用胶项目'!$A$8:$A$207,0))))</f>
        <v/>
      </c>
      <c r="D185" s="32" t="n"/>
      <c r="E185" s="10" t="n"/>
      <c r="F185" s="38" t="n"/>
      <c r="G185" s="10" t="n"/>
      <c r="H185" s="10" t="n"/>
      <c r="I185" s="10" t="n"/>
      <c r="J185" s="33" t="n"/>
      <c r="K185" s="32" t="n"/>
      <c r="L185" s="33" t="n"/>
      <c r="M185" s="32" t="n"/>
      <c r="N185" s="33" t="n"/>
      <c r="O185" s="10" t="n"/>
      <c r="P185" s="10" t="n"/>
      <c r="Q185" s="10" t="n"/>
      <c r="R185" s="10" t="n"/>
      <c r="S185" s="10" t="n"/>
      <c r="T185" s="32" t="n"/>
      <c r="U185" s="32" t="n"/>
      <c r="V185" s="16">
        <f>IF(A185="","",IF(OR(COUNTIF($A$8:$A$207,A185)&lt;&gt;1,COUNTIF('用胶项目'!$A$8:$A$207,B185)&lt;&gt;1,AND(D185&lt;&gt;"",COUNTIF('联系人'!$A$8:$A$207,D185)&lt;&gt;1),AND(M185&lt;&gt;"",COUNTIF('联系人'!$A$8:$A$207,M185)&lt;&gt;1),AND(T185&lt;&gt;"",COUNTIF('跟进待办'!$A$8:$A$207,T185)&lt;&gt;1),AND(U185&lt;&gt;"",COUNTIF('沟通记录'!$A$8:$A$207,U185)&lt;&gt;1)),"检查编号或关联","正常"))</f>
        <v/>
      </c>
    </row>
    <row r="186" ht="34" customHeight="1">
      <c r="A186" s="32" t="n"/>
      <c r="B186" s="32" t="n"/>
      <c r="C186" s="34">
        <f>IF(B186="","",IF(COUNTIF('用胶项目'!$A$8:$A$207,B186)&lt;&gt;1,"编号缺失或重复",INDEX('用胶项目'!$B$8:$B$207,MATCH(B186,'用胶项目'!$A$8:$A$207,0))))</f>
        <v/>
      </c>
      <c r="D186" s="32" t="n"/>
      <c r="E186" s="10" t="n"/>
      <c r="F186" s="38" t="n"/>
      <c r="G186" s="10" t="n"/>
      <c r="H186" s="10" t="n"/>
      <c r="I186" s="10" t="n"/>
      <c r="J186" s="33" t="n"/>
      <c r="K186" s="32" t="n"/>
      <c r="L186" s="33" t="n"/>
      <c r="M186" s="32" t="n"/>
      <c r="N186" s="33" t="n"/>
      <c r="O186" s="10" t="n"/>
      <c r="P186" s="10" t="n"/>
      <c r="Q186" s="10" t="n"/>
      <c r="R186" s="10" t="n"/>
      <c r="S186" s="10" t="n"/>
      <c r="T186" s="32" t="n"/>
      <c r="U186" s="32" t="n"/>
      <c r="V186" s="16">
        <f>IF(A186="","",IF(OR(COUNTIF($A$8:$A$207,A186)&lt;&gt;1,COUNTIF('用胶项目'!$A$8:$A$207,B186)&lt;&gt;1,AND(D186&lt;&gt;"",COUNTIF('联系人'!$A$8:$A$207,D186)&lt;&gt;1),AND(M186&lt;&gt;"",COUNTIF('联系人'!$A$8:$A$207,M186)&lt;&gt;1),AND(T186&lt;&gt;"",COUNTIF('跟进待办'!$A$8:$A$207,T186)&lt;&gt;1),AND(U186&lt;&gt;"",COUNTIF('沟通记录'!$A$8:$A$207,U186)&lt;&gt;1)),"检查编号或关联","正常"))</f>
        <v/>
      </c>
    </row>
    <row r="187" ht="34" customHeight="1">
      <c r="A187" s="32" t="n"/>
      <c r="B187" s="32" t="n"/>
      <c r="C187" s="34">
        <f>IF(B187="","",IF(COUNTIF('用胶项目'!$A$8:$A$207,B187)&lt;&gt;1,"编号缺失或重复",INDEX('用胶项目'!$B$8:$B$207,MATCH(B187,'用胶项目'!$A$8:$A$207,0))))</f>
        <v/>
      </c>
      <c r="D187" s="32" t="n"/>
      <c r="E187" s="10" t="n"/>
      <c r="F187" s="38" t="n"/>
      <c r="G187" s="10" t="n"/>
      <c r="H187" s="10" t="n"/>
      <c r="I187" s="10" t="n"/>
      <c r="J187" s="33" t="n"/>
      <c r="K187" s="32" t="n"/>
      <c r="L187" s="33" t="n"/>
      <c r="M187" s="32" t="n"/>
      <c r="N187" s="33" t="n"/>
      <c r="O187" s="10" t="n"/>
      <c r="P187" s="10" t="n"/>
      <c r="Q187" s="10" t="n"/>
      <c r="R187" s="10" t="n"/>
      <c r="S187" s="10" t="n"/>
      <c r="T187" s="32" t="n"/>
      <c r="U187" s="32" t="n"/>
      <c r="V187" s="16">
        <f>IF(A187="","",IF(OR(COUNTIF($A$8:$A$207,A187)&lt;&gt;1,COUNTIF('用胶项目'!$A$8:$A$207,B187)&lt;&gt;1,AND(D187&lt;&gt;"",COUNTIF('联系人'!$A$8:$A$207,D187)&lt;&gt;1),AND(M187&lt;&gt;"",COUNTIF('联系人'!$A$8:$A$207,M187)&lt;&gt;1),AND(T187&lt;&gt;"",COUNTIF('跟进待办'!$A$8:$A$207,T187)&lt;&gt;1),AND(U187&lt;&gt;"",COUNTIF('沟通记录'!$A$8:$A$207,U187)&lt;&gt;1)),"检查编号或关联","正常"))</f>
        <v/>
      </c>
    </row>
    <row r="188" ht="34" customHeight="1">
      <c r="A188" s="32" t="n"/>
      <c r="B188" s="32" t="n"/>
      <c r="C188" s="34">
        <f>IF(B188="","",IF(COUNTIF('用胶项目'!$A$8:$A$207,B188)&lt;&gt;1,"编号缺失或重复",INDEX('用胶项目'!$B$8:$B$207,MATCH(B188,'用胶项目'!$A$8:$A$207,0))))</f>
        <v/>
      </c>
      <c r="D188" s="32" t="n"/>
      <c r="E188" s="10" t="n"/>
      <c r="F188" s="38" t="n"/>
      <c r="G188" s="10" t="n"/>
      <c r="H188" s="10" t="n"/>
      <c r="I188" s="10" t="n"/>
      <c r="J188" s="33" t="n"/>
      <c r="K188" s="32" t="n"/>
      <c r="L188" s="33" t="n"/>
      <c r="M188" s="32" t="n"/>
      <c r="N188" s="33" t="n"/>
      <c r="O188" s="10" t="n"/>
      <c r="P188" s="10" t="n"/>
      <c r="Q188" s="10" t="n"/>
      <c r="R188" s="10" t="n"/>
      <c r="S188" s="10" t="n"/>
      <c r="T188" s="32" t="n"/>
      <c r="U188" s="32" t="n"/>
      <c r="V188" s="16">
        <f>IF(A188="","",IF(OR(COUNTIF($A$8:$A$207,A188)&lt;&gt;1,COUNTIF('用胶项目'!$A$8:$A$207,B188)&lt;&gt;1,AND(D188&lt;&gt;"",COUNTIF('联系人'!$A$8:$A$207,D188)&lt;&gt;1),AND(M188&lt;&gt;"",COUNTIF('联系人'!$A$8:$A$207,M188)&lt;&gt;1),AND(T188&lt;&gt;"",COUNTIF('跟进待办'!$A$8:$A$207,T188)&lt;&gt;1),AND(U188&lt;&gt;"",COUNTIF('沟通记录'!$A$8:$A$207,U188)&lt;&gt;1)),"检查编号或关联","正常"))</f>
        <v/>
      </c>
    </row>
    <row r="189" ht="34" customHeight="1">
      <c r="A189" s="32" t="n"/>
      <c r="B189" s="32" t="n"/>
      <c r="C189" s="34">
        <f>IF(B189="","",IF(COUNTIF('用胶项目'!$A$8:$A$207,B189)&lt;&gt;1,"编号缺失或重复",INDEX('用胶项目'!$B$8:$B$207,MATCH(B189,'用胶项目'!$A$8:$A$207,0))))</f>
        <v/>
      </c>
      <c r="D189" s="32" t="n"/>
      <c r="E189" s="10" t="n"/>
      <c r="F189" s="38" t="n"/>
      <c r="G189" s="10" t="n"/>
      <c r="H189" s="10" t="n"/>
      <c r="I189" s="10" t="n"/>
      <c r="J189" s="33" t="n"/>
      <c r="K189" s="32" t="n"/>
      <c r="L189" s="33" t="n"/>
      <c r="M189" s="32" t="n"/>
      <c r="N189" s="33" t="n"/>
      <c r="O189" s="10" t="n"/>
      <c r="P189" s="10" t="n"/>
      <c r="Q189" s="10" t="n"/>
      <c r="R189" s="10" t="n"/>
      <c r="S189" s="10" t="n"/>
      <c r="T189" s="32" t="n"/>
      <c r="U189" s="32" t="n"/>
      <c r="V189" s="16">
        <f>IF(A189="","",IF(OR(COUNTIF($A$8:$A$207,A189)&lt;&gt;1,COUNTIF('用胶项目'!$A$8:$A$207,B189)&lt;&gt;1,AND(D189&lt;&gt;"",COUNTIF('联系人'!$A$8:$A$207,D189)&lt;&gt;1),AND(M189&lt;&gt;"",COUNTIF('联系人'!$A$8:$A$207,M189)&lt;&gt;1),AND(T189&lt;&gt;"",COUNTIF('跟进待办'!$A$8:$A$207,T189)&lt;&gt;1),AND(U189&lt;&gt;"",COUNTIF('沟通记录'!$A$8:$A$207,U189)&lt;&gt;1)),"检查编号或关联","正常"))</f>
        <v/>
      </c>
    </row>
    <row r="190" ht="34" customHeight="1">
      <c r="A190" s="32" t="n"/>
      <c r="B190" s="32" t="n"/>
      <c r="C190" s="34">
        <f>IF(B190="","",IF(COUNTIF('用胶项目'!$A$8:$A$207,B190)&lt;&gt;1,"编号缺失或重复",INDEX('用胶项目'!$B$8:$B$207,MATCH(B190,'用胶项目'!$A$8:$A$207,0))))</f>
        <v/>
      </c>
      <c r="D190" s="32" t="n"/>
      <c r="E190" s="10" t="n"/>
      <c r="F190" s="38" t="n"/>
      <c r="G190" s="10" t="n"/>
      <c r="H190" s="10" t="n"/>
      <c r="I190" s="10" t="n"/>
      <c r="J190" s="33" t="n"/>
      <c r="K190" s="32" t="n"/>
      <c r="L190" s="33" t="n"/>
      <c r="M190" s="32" t="n"/>
      <c r="N190" s="33" t="n"/>
      <c r="O190" s="10" t="n"/>
      <c r="P190" s="10" t="n"/>
      <c r="Q190" s="10" t="n"/>
      <c r="R190" s="10" t="n"/>
      <c r="S190" s="10" t="n"/>
      <c r="T190" s="32" t="n"/>
      <c r="U190" s="32" t="n"/>
      <c r="V190" s="16">
        <f>IF(A190="","",IF(OR(COUNTIF($A$8:$A$207,A190)&lt;&gt;1,COUNTIF('用胶项目'!$A$8:$A$207,B190)&lt;&gt;1,AND(D190&lt;&gt;"",COUNTIF('联系人'!$A$8:$A$207,D190)&lt;&gt;1),AND(M190&lt;&gt;"",COUNTIF('联系人'!$A$8:$A$207,M190)&lt;&gt;1),AND(T190&lt;&gt;"",COUNTIF('跟进待办'!$A$8:$A$207,T190)&lt;&gt;1),AND(U190&lt;&gt;"",COUNTIF('沟通记录'!$A$8:$A$207,U190)&lt;&gt;1)),"检查编号或关联","正常"))</f>
        <v/>
      </c>
    </row>
    <row r="191" ht="34" customHeight="1">
      <c r="A191" s="32" t="n"/>
      <c r="B191" s="32" t="n"/>
      <c r="C191" s="34">
        <f>IF(B191="","",IF(COUNTIF('用胶项目'!$A$8:$A$207,B191)&lt;&gt;1,"编号缺失或重复",INDEX('用胶项目'!$B$8:$B$207,MATCH(B191,'用胶项目'!$A$8:$A$207,0))))</f>
        <v/>
      </c>
      <c r="D191" s="32" t="n"/>
      <c r="E191" s="10" t="n"/>
      <c r="F191" s="38" t="n"/>
      <c r="G191" s="10" t="n"/>
      <c r="H191" s="10" t="n"/>
      <c r="I191" s="10" t="n"/>
      <c r="J191" s="33" t="n"/>
      <c r="K191" s="32" t="n"/>
      <c r="L191" s="33" t="n"/>
      <c r="M191" s="32" t="n"/>
      <c r="N191" s="33" t="n"/>
      <c r="O191" s="10" t="n"/>
      <c r="P191" s="10" t="n"/>
      <c r="Q191" s="10" t="n"/>
      <c r="R191" s="10" t="n"/>
      <c r="S191" s="10" t="n"/>
      <c r="T191" s="32" t="n"/>
      <c r="U191" s="32" t="n"/>
      <c r="V191" s="16">
        <f>IF(A191="","",IF(OR(COUNTIF($A$8:$A$207,A191)&lt;&gt;1,COUNTIF('用胶项目'!$A$8:$A$207,B191)&lt;&gt;1,AND(D191&lt;&gt;"",COUNTIF('联系人'!$A$8:$A$207,D191)&lt;&gt;1),AND(M191&lt;&gt;"",COUNTIF('联系人'!$A$8:$A$207,M191)&lt;&gt;1),AND(T191&lt;&gt;"",COUNTIF('跟进待办'!$A$8:$A$207,T191)&lt;&gt;1),AND(U191&lt;&gt;"",COUNTIF('沟通记录'!$A$8:$A$207,U191)&lt;&gt;1)),"检查编号或关联","正常"))</f>
        <v/>
      </c>
    </row>
    <row r="192" ht="34" customHeight="1">
      <c r="A192" s="32" t="n"/>
      <c r="B192" s="32" t="n"/>
      <c r="C192" s="34">
        <f>IF(B192="","",IF(COUNTIF('用胶项目'!$A$8:$A$207,B192)&lt;&gt;1,"编号缺失或重复",INDEX('用胶项目'!$B$8:$B$207,MATCH(B192,'用胶项目'!$A$8:$A$207,0))))</f>
        <v/>
      </c>
      <c r="D192" s="32" t="n"/>
      <c r="E192" s="10" t="n"/>
      <c r="F192" s="38" t="n"/>
      <c r="G192" s="10" t="n"/>
      <c r="H192" s="10" t="n"/>
      <c r="I192" s="10" t="n"/>
      <c r="J192" s="33" t="n"/>
      <c r="K192" s="32" t="n"/>
      <c r="L192" s="33" t="n"/>
      <c r="M192" s="32" t="n"/>
      <c r="N192" s="33" t="n"/>
      <c r="O192" s="10" t="n"/>
      <c r="P192" s="10" t="n"/>
      <c r="Q192" s="10" t="n"/>
      <c r="R192" s="10" t="n"/>
      <c r="S192" s="10" t="n"/>
      <c r="T192" s="32" t="n"/>
      <c r="U192" s="32" t="n"/>
      <c r="V192" s="16">
        <f>IF(A192="","",IF(OR(COUNTIF($A$8:$A$207,A192)&lt;&gt;1,COUNTIF('用胶项目'!$A$8:$A$207,B192)&lt;&gt;1,AND(D192&lt;&gt;"",COUNTIF('联系人'!$A$8:$A$207,D192)&lt;&gt;1),AND(M192&lt;&gt;"",COUNTIF('联系人'!$A$8:$A$207,M192)&lt;&gt;1),AND(T192&lt;&gt;"",COUNTIF('跟进待办'!$A$8:$A$207,T192)&lt;&gt;1),AND(U192&lt;&gt;"",COUNTIF('沟通记录'!$A$8:$A$207,U192)&lt;&gt;1)),"检查编号或关联","正常"))</f>
        <v/>
      </c>
    </row>
    <row r="193" ht="34" customHeight="1">
      <c r="A193" s="32" t="n"/>
      <c r="B193" s="32" t="n"/>
      <c r="C193" s="34">
        <f>IF(B193="","",IF(COUNTIF('用胶项目'!$A$8:$A$207,B193)&lt;&gt;1,"编号缺失或重复",INDEX('用胶项目'!$B$8:$B$207,MATCH(B193,'用胶项目'!$A$8:$A$207,0))))</f>
        <v/>
      </c>
      <c r="D193" s="32" t="n"/>
      <c r="E193" s="10" t="n"/>
      <c r="F193" s="38" t="n"/>
      <c r="G193" s="10" t="n"/>
      <c r="H193" s="10" t="n"/>
      <c r="I193" s="10" t="n"/>
      <c r="J193" s="33" t="n"/>
      <c r="K193" s="32" t="n"/>
      <c r="L193" s="33" t="n"/>
      <c r="M193" s="32" t="n"/>
      <c r="N193" s="33" t="n"/>
      <c r="O193" s="10" t="n"/>
      <c r="P193" s="10" t="n"/>
      <c r="Q193" s="10" t="n"/>
      <c r="R193" s="10" t="n"/>
      <c r="S193" s="10" t="n"/>
      <c r="T193" s="32" t="n"/>
      <c r="U193" s="32" t="n"/>
      <c r="V193" s="16">
        <f>IF(A193="","",IF(OR(COUNTIF($A$8:$A$207,A193)&lt;&gt;1,COUNTIF('用胶项目'!$A$8:$A$207,B193)&lt;&gt;1,AND(D193&lt;&gt;"",COUNTIF('联系人'!$A$8:$A$207,D193)&lt;&gt;1),AND(M193&lt;&gt;"",COUNTIF('联系人'!$A$8:$A$207,M193)&lt;&gt;1),AND(T193&lt;&gt;"",COUNTIF('跟进待办'!$A$8:$A$207,T193)&lt;&gt;1),AND(U193&lt;&gt;"",COUNTIF('沟通记录'!$A$8:$A$207,U193)&lt;&gt;1)),"检查编号或关联","正常"))</f>
        <v/>
      </c>
    </row>
    <row r="194" ht="34" customHeight="1">
      <c r="A194" s="32" t="n"/>
      <c r="B194" s="32" t="n"/>
      <c r="C194" s="34">
        <f>IF(B194="","",IF(COUNTIF('用胶项目'!$A$8:$A$207,B194)&lt;&gt;1,"编号缺失或重复",INDEX('用胶项目'!$B$8:$B$207,MATCH(B194,'用胶项目'!$A$8:$A$207,0))))</f>
        <v/>
      </c>
      <c r="D194" s="32" t="n"/>
      <c r="E194" s="10" t="n"/>
      <c r="F194" s="38" t="n"/>
      <c r="G194" s="10" t="n"/>
      <c r="H194" s="10" t="n"/>
      <c r="I194" s="10" t="n"/>
      <c r="J194" s="33" t="n"/>
      <c r="K194" s="32" t="n"/>
      <c r="L194" s="33" t="n"/>
      <c r="M194" s="32" t="n"/>
      <c r="N194" s="33" t="n"/>
      <c r="O194" s="10" t="n"/>
      <c r="P194" s="10" t="n"/>
      <c r="Q194" s="10" t="n"/>
      <c r="R194" s="10" t="n"/>
      <c r="S194" s="10" t="n"/>
      <c r="T194" s="32" t="n"/>
      <c r="U194" s="32" t="n"/>
      <c r="V194" s="16">
        <f>IF(A194="","",IF(OR(COUNTIF($A$8:$A$207,A194)&lt;&gt;1,COUNTIF('用胶项目'!$A$8:$A$207,B194)&lt;&gt;1,AND(D194&lt;&gt;"",COUNTIF('联系人'!$A$8:$A$207,D194)&lt;&gt;1),AND(M194&lt;&gt;"",COUNTIF('联系人'!$A$8:$A$207,M194)&lt;&gt;1),AND(T194&lt;&gt;"",COUNTIF('跟进待办'!$A$8:$A$207,T194)&lt;&gt;1),AND(U194&lt;&gt;"",COUNTIF('沟通记录'!$A$8:$A$207,U194)&lt;&gt;1)),"检查编号或关联","正常"))</f>
        <v/>
      </c>
    </row>
    <row r="195" ht="34" customHeight="1">
      <c r="A195" s="32" t="n"/>
      <c r="B195" s="32" t="n"/>
      <c r="C195" s="34">
        <f>IF(B195="","",IF(COUNTIF('用胶项目'!$A$8:$A$207,B195)&lt;&gt;1,"编号缺失或重复",INDEX('用胶项目'!$B$8:$B$207,MATCH(B195,'用胶项目'!$A$8:$A$207,0))))</f>
        <v/>
      </c>
      <c r="D195" s="32" t="n"/>
      <c r="E195" s="10" t="n"/>
      <c r="F195" s="38" t="n"/>
      <c r="G195" s="10" t="n"/>
      <c r="H195" s="10" t="n"/>
      <c r="I195" s="10" t="n"/>
      <c r="J195" s="33" t="n"/>
      <c r="K195" s="32" t="n"/>
      <c r="L195" s="33" t="n"/>
      <c r="M195" s="32" t="n"/>
      <c r="N195" s="33" t="n"/>
      <c r="O195" s="10" t="n"/>
      <c r="P195" s="10" t="n"/>
      <c r="Q195" s="10" t="n"/>
      <c r="R195" s="10" t="n"/>
      <c r="S195" s="10" t="n"/>
      <c r="T195" s="32" t="n"/>
      <c r="U195" s="32" t="n"/>
      <c r="V195" s="16">
        <f>IF(A195="","",IF(OR(COUNTIF($A$8:$A$207,A195)&lt;&gt;1,COUNTIF('用胶项目'!$A$8:$A$207,B195)&lt;&gt;1,AND(D195&lt;&gt;"",COUNTIF('联系人'!$A$8:$A$207,D195)&lt;&gt;1),AND(M195&lt;&gt;"",COUNTIF('联系人'!$A$8:$A$207,M195)&lt;&gt;1),AND(T195&lt;&gt;"",COUNTIF('跟进待办'!$A$8:$A$207,T195)&lt;&gt;1),AND(U195&lt;&gt;"",COUNTIF('沟通记录'!$A$8:$A$207,U195)&lt;&gt;1)),"检查编号或关联","正常"))</f>
        <v/>
      </c>
    </row>
    <row r="196" ht="34" customHeight="1">
      <c r="A196" s="32" t="n"/>
      <c r="B196" s="32" t="n"/>
      <c r="C196" s="34">
        <f>IF(B196="","",IF(COUNTIF('用胶项目'!$A$8:$A$207,B196)&lt;&gt;1,"编号缺失或重复",INDEX('用胶项目'!$B$8:$B$207,MATCH(B196,'用胶项目'!$A$8:$A$207,0))))</f>
        <v/>
      </c>
      <c r="D196" s="32" t="n"/>
      <c r="E196" s="10" t="n"/>
      <c r="F196" s="38" t="n"/>
      <c r="G196" s="10" t="n"/>
      <c r="H196" s="10" t="n"/>
      <c r="I196" s="10" t="n"/>
      <c r="J196" s="33" t="n"/>
      <c r="K196" s="32" t="n"/>
      <c r="L196" s="33" t="n"/>
      <c r="M196" s="32" t="n"/>
      <c r="N196" s="33" t="n"/>
      <c r="O196" s="10" t="n"/>
      <c r="P196" s="10" t="n"/>
      <c r="Q196" s="10" t="n"/>
      <c r="R196" s="10" t="n"/>
      <c r="S196" s="10" t="n"/>
      <c r="T196" s="32" t="n"/>
      <c r="U196" s="32" t="n"/>
      <c r="V196" s="16">
        <f>IF(A196="","",IF(OR(COUNTIF($A$8:$A$207,A196)&lt;&gt;1,COUNTIF('用胶项目'!$A$8:$A$207,B196)&lt;&gt;1,AND(D196&lt;&gt;"",COUNTIF('联系人'!$A$8:$A$207,D196)&lt;&gt;1),AND(M196&lt;&gt;"",COUNTIF('联系人'!$A$8:$A$207,M196)&lt;&gt;1),AND(T196&lt;&gt;"",COUNTIF('跟进待办'!$A$8:$A$207,T196)&lt;&gt;1),AND(U196&lt;&gt;"",COUNTIF('沟通记录'!$A$8:$A$207,U196)&lt;&gt;1)),"检查编号或关联","正常"))</f>
        <v/>
      </c>
    </row>
    <row r="197" ht="34" customHeight="1">
      <c r="A197" s="32" t="n"/>
      <c r="B197" s="32" t="n"/>
      <c r="C197" s="34">
        <f>IF(B197="","",IF(COUNTIF('用胶项目'!$A$8:$A$207,B197)&lt;&gt;1,"编号缺失或重复",INDEX('用胶项目'!$B$8:$B$207,MATCH(B197,'用胶项目'!$A$8:$A$207,0))))</f>
        <v/>
      </c>
      <c r="D197" s="32" t="n"/>
      <c r="E197" s="10" t="n"/>
      <c r="F197" s="38" t="n"/>
      <c r="G197" s="10" t="n"/>
      <c r="H197" s="10" t="n"/>
      <c r="I197" s="10" t="n"/>
      <c r="J197" s="33" t="n"/>
      <c r="K197" s="32" t="n"/>
      <c r="L197" s="33" t="n"/>
      <c r="M197" s="32" t="n"/>
      <c r="N197" s="33" t="n"/>
      <c r="O197" s="10" t="n"/>
      <c r="P197" s="10" t="n"/>
      <c r="Q197" s="10" t="n"/>
      <c r="R197" s="10" t="n"/>
      <c r="S197" s="10" t="n"/>
      <c r="T197" s="32" t="n"/>
      <c r="U197" s="32" t="n"/>
      <c r="V197" s="16">
        <f>IF(A197="","",IF(OR(COUNTIF($A$8:$A$207,A197)&lt;&gt;1,COUNTIF('用胶项目'!$A$8:$A$207,B197)&lt;&gt;1,AND(D197&lt;&gt;"",COUNTIF('联系人'!$A$8:$A$207,D197)&lt;&gt;1),AND(M197&lt;&gt;"",COUNTIF('联系人'!$A$8:$A$207,M197)&lt;&gt;1),AND(T197&lt;&gt;"",COUNTIF('跟进待办'!$A$8:$A$207,T197)&lt;&gt;1),AND(U197&lt;&gt;"",COUNTIF('沟通记录'!$A$8:$A$207,U197)&lt;&gt;1)),"检查编号或关联","正常"))</f>
        <v/>
      </c>
    </row>
    <row r="198" ht="34" customHeight="1">
      <c r="A198" s="32" t="n"/>
      <c r="B198" s="32" t="n"/>
      <c r="C198" s="34">
        <f>IF(B198="","",IF(COUNTIF('用胶项目'!$A$8:$A$207,B198)&lt;&gt;1,"编号缺失或重复",INDEX('用胶项目'!$B$8:$B$207,MATCH(B198,'用胶项目'!$A$8:$A$207,0))))</f>
        <v/>
      </c>
      <c r="D198" s="32" t="n"/>
      <c r="E198" s="10" t="n"/>
      <c r="F198" s="38" t="n"/>
      <c r="G198" s="10" t="n"/>
      <c r="H198" s="10" t="n"/>
      <c r="I198" s="10" t="n"/>
      <c r="J198" s="33" t="n"/>
      <c r="K198" s="32" t="n"/>
      <c r="L198" s="33" t="n"/>
      <c r="M198" s="32" t="n"/>
      <c r="N198" s="33" t="n"/>
      <c r="O198" s="10" t="n"/>
      <c r="P198" s="10" t="n"/>
      <c r="Q198" s="10" t="n"/>
      <c r="R198" s="10" t="n"/>
      <c r="S198" s="10" t="n"/>
      <c r="T198" s="32" t="n"/>
      <c r="U198" s="32" t="n"/>
      <c r="V198" s="16">
        <f>IF(A198="","",IF(OR(COUNTIF($A$8:$A$207,A198)&lt;&gt;1,COUNTIF('用胶项目'!$A$8:$A$207,B198)&lt;&gt;1,AND(D198&lt;&gt;"",COUNTIF('联系人'!$A$8:$A$207,D198)&lt;&gt;1),AND(M198&lt;&gt;"",COUNTIF('联系人'!$A$8:$A$207,M198)&lt;&gt;1),AND(T198&lt;&gt;"",COUNTIF('跟进待办'!$A$8:$A$207,T198)&lt;&gt;1),AND(U198&lt;&gt;"",COUNTIF('沟通记录'!$A$8:$A$207,U198)&lt;&gt;1)),"检查编号或关联","正常"))</f>
        <v/>
      </c>
    </row>
    <row r="199" ht="34" customHeight="1">
      <c r="A199" s="32" t="n"/>
      <c r="B199" s="32" t="n"/>
      <c r="C199" s="34">
        <f>IF(B199="","",IF(COUNTIF('用胶项目'!$A$8:$A$207,B199)&lt;&gt;1,"编号缺失或重复",INDEX('用胶项目'!$B$8:$B$207,MATCH(B199,'用胶项目'!$A$8:$A$207,0))))</f>
        <v/>
      </c>
      <c r="D199" s="32" t="n"/>
      <c r="E199" s="10" t="n"/>
      <c r="F199" s="38" t="n"/>
      <c r="G199" s="10" t="n"/>
      <c r="H199" s="10" t="n"/>
      <c r="I199" s="10" t="n"/>
      <c r="J199" s="33" t="n"/>
      <c r="K199" s="32" t="n"/>
      <c r="L199" s="33" t="n"/>
      <c r="M199" s="32" t="n"/>
      <c r="N199" s="33" t="n"/>
      <c r="O199" s="10" t="n"/>
      <c r="P199" s="10" t="n"/>
      <c r="Q199" s="10" t="n"/>
      <c r="R199" s="10" t="n"/>
      <c r="S199" s="10" t="n"/>
      <c r="T199" s="32" t="n"/>
      <c r="U199" s="32" t="n"/>
      <c r="V199" s="16">
        <f>IF(A199="","",IF(OR(COUNTIF($A$8:$A$207,A199)&lt;&gt;1,COUNTIF('用胶项目'!$A$8:$A$207,B199)&lt;&gt;1,AND(D199&lt;&gt;"",COUNTIF('联系人'!$A$8:$A$207,D199)&lt;&gt;1),AND(M199&lt;&gt;"",COUNTIF('联系人'!$A$8:$A$207,M199)&lt;&gt;1),AND(T199&lt;&gt;"",COUNTIF('跟进待办'!$A$8:$A$207,T199)&lt;&gt;1),AND(U199&lt;&gt;"",COUNTIF('沟通记录'!$A$8:$A$207,U199)&lt;&gt;1)),"检查编号或关联","正常"))</f>
        <v/>
      </c>
    </row>
    <row r="200" ht="34" customHeight="1">
      <c r="A200" s="32" t="n"/>
      <c r="B200" s="32" t="n"/>
      <c r="C200" s="34">
        <f>IF(B200="","",IF(COUNTIF('用胶项目'!$A$8:$A$207,B200)&lt;&gt;1,"编号缺失或重复",INDEX('用胶项目'!$B$8:$B$207,MATCH(B200,'用胶项目'!$A$8:$A$207,0))))</f>
        <v/>
      </c>
      <c r="D200" s="32" t="n"/>
      <c r="E200" s="10" t="n"/>
      <c r="F200" s="38" t="n"/>
      <c r="G200" s="10" t="n"/>
      <c r="H200" s="10" t="n"/>
      <c r="I200" s="10" t="n"/>
      <c r="J200" s="33" t="n"/>
      <c r="K200" s="32" t="n"/>
      <c r="L200" s="33" t="n"/>
      <c r="M200" s="32" t="n"/>
      <c r="N200" s="33" t="n"/>
      <c r="O200" s="10" t="n"/>
      <c r="P200" s="10" t="n"/>
      <c r="Q200" s="10" t="n"/>
      <c r="R200" s="10" t="n"/>
      <c r="S200" s="10" t="n"/>
      <c r="T200" s="32" t="n"/>
      <c r="U200" s="32" t="n"/>
      <c r="V200" s="16">
        <f>IF(A200="","",IF(OR(COUNTIF($A$8:$A$207,A200)&lt;&gt;1,COUNTIF('用胶项目'!$A$8:$A$207,B200)&lt;&gt;1,AND(D200&lt;&gt;"",COUNTIF('联系人'!$A$8:$A$207,D200)&lt;&gt;1),AND(M200&lt;&gt;"",COUNTIF('联系人'!$A$8:$A$207,M200)&lt;&gt;1),AND(T200&lt;&gt;"",COUNTIF('跟进待办'!$A$8:$A$207,T200)&lt;&gt;1),AND(U200&lt;&gt;"",COUNTIF('沟通记录'!$A$8:$A$207,U200)&lt;&gt;1)),"检查编号或关联","正常"))</f>
        <v/>
      </c>
    </row>
    <row r="201" ht="34" customHeight="1">
      <c r="A201" s="32" t="n"/>
      <c r="B201" s="32" t="n"/>
      <c r="C201" s="34">
        <f>IF(B201="","",IF(COUNTIF('用胶项目'!$A$8:$A$207,B201)&lt;&gt;1,"编号缺失或重复",INDEX('用胶项目'!$B$8:$B$207,MATCH(B201,'用胶项目'!$A$8:$A$207,0))))</f>
        <v/>
      </c>
      <c r="D201" s="32" t="n"/>
      <c r="E201" s="10" t="n"/>
      <c r="F201" s="38" t="n"/>
      <c r="G201" s="10" t="n"/>
      <c r="H201" s="10" t="n"/>
      <c r="I201" s="10" t="n"/>
      <c r="J201" s="33" t="n"/>
      <c r="K201" s="32" t="n"/>
      <c r="L201" s="33" t="n"/>
      <c r="M201" s="32" t="n"/>
      <c r="N201" s="33" t="n"/>
      <c r="O201" s="10" t="n"/>
      <c r="P201" s="10" t="n"/>
      <c r="Q201" s="10" t="n"/>
      <c r="R201" s="10" t="n"/>
      <c r="S201" s="10" t="n"/>
      <c r="T201" s="32" t="n"/>
      <c r="U201" s="32" t="n"/>
      <c r="V201" s="16">
        <f>IF(A201="","",IF(OR(COUNTIF($A$8:$A$207,A201)&lt;&gt;1,COUNTIF('用胶项目'!$A$8:$A$207,B201)&lt;&gt;1,AND(D201&lt;&gt;"",COUNTIF('联系人'!$A$8:$A$207,D201)&lt;&gt;1),AND(M201&lt;&gt;"",COUNTIF('联系人'!$A$8:$A$207,M201)&lt;&gt;1),AND(T201&lt;&gt;"",COUNTIF('跟进待办'!$A$8:$A$207,T201)&lt;&gt;1),AND(U201&lt;&gt;"",COUNTIF('沟通记录'!$A$8:$A$207,U201)&lt;&gt;1)),"检查编号或关联","正常"))</f>
        <v/>
      </c>
    </row>
    <row r="202" ht="34" customHeight="1">
      <c r="A202" s="32" t="n"/>
      <c r="B202" s="32" t="n"/>
      <c r="C202" s="34">
        <f>IF(B202="","",IF(COUNTIF('用胶项目'!$A$8:$A$207,B202)&lt;&gt;1,"编号缺失或重复",INDEX('用胶项目'!$B$8:$B$207,MATCH(B202,'用胶项目'!$A$8:$A$207,0))))</f>
        <v/>
      </c>
      <c r="D202" s="32" t="n"/>
      <c r="E202" s="10" t="n"/>
      <c r="F202" s="38" t="n"/>
      <c r="G202" s="10" t="n"/>
      <c r="H202" s="10" t="n"/>
      <c r="I202" s="10" t="n"/>
      <c r="J202" s="33" t="n"/>
      <c r="K202" s="32" t="n"/>
      <c r="L202" s="33" t="n"/>
      <c r="M202" s="32" t="n"/>
      <c r="N202" s="33" t="n"/>
      <c r="O202" s="10" t="n"/>
      <c r="P202" s="10" t="n"/>
      <c r="Q202" s="10" t="n"/>
      <c r="R202" s="10" t="n"/>
      <c r="S202" s="10" t="n"/>
      <c r="T202" s="32" t="n"/>
      <c r="U202" s="32" t="n"/>
      <c r="V202" s="16">
        <f>IF(A202="","",IF(OR(COUNTIF($A$8:$A$207,A202)&lt;&gt;1,COUNTIF('用胶项目'!$A$8:$A$207,B202)&lt;&gt;1,AND(D202&lt;&gt;"",COUNTIF('联系人'!$A$8:$A$207,D202)&lt;&gt;1),AND(M202&lt;&gt;"",COUNTIF('联系人'!$A$8:$A$207,M202)&lt;&gt;1),AND(T202&lt;&gt;"",COUNTIF('跟进待办'!$A$8:$A$207,T202)&lt;&gt;1),AND(U202&lt;&gt;"",COUNTIF('沟通记录'!$A$8:$A$207,U202)&lt;&gt;1)),"检查编号或关联","正常"))</f>
        <v/>
      </c>
    </row>
    <row r="203" ht="34" customHeight="1">
      <c r="A203" s="32" t="n"/>
      <c r="B203" s="32" t="n"/>
      <c r="C203" s="34">
        <f>IF(B203="","",IF(COUNTIF('用胶项目'!$A$8:$A$207,B203)&lt;&gt;1,"编号缺失或重复",INDEX('用胶项目'!$B$8:$B$207,MATCH(B203,'用胶项目'!$A$8:$A$207,0))))</f>
        <v/>
      </c>
      <c r="D203" s="32" t="n"/>
      <c r="E203" s="10" t="n"/>
      <c r="F203" s="38" t="n"/>
      <c r="G203" s="10" t="n"/>
      <c r="H203" s="10" t="n"/>
      <c r="I203" s="10" t="n"/>
      <c r="J203" s="33" t="n"/>
      <c r="K203" s="32" t="n"/>
      <c r="L203" s="33" t="n"/>
      <c r="M203" s="32" t="n"/>
      <c r="N203" s="33" t="n"/>
      <c r="O203" s="10" t="n"/>
      <c r="P203" s="10" t="n"/>
      <c r="Q203" s="10" t="n"/>
      <c r="R203" s="10" t="n"/>
      <c r="S203" s="10" t="n"/>
      <c r="T203" s="32" t="n"/>
      <c r="U203" s="32" t="n"/>
      <c r="V203" s="16">
        <f>IF(A203="","",IF(OR(COUNTIF($A$8:$A$207,A203)&lt;&gt;1,COUNTIF('用胶项目'!$A$8:$A$207,B203)&lt;&gt;1,AND(D203&lt;&gt;"",COUNTIF('联系人'!$A$8:$A$207,D203)&lt;&gt;1),AND(M203&lt;&gt;"",COUNTIF('联系人'!$A$8:$A$207,M203)&lt;&gt;1),AND(T203&lt;&gt;"",COUNTIF('跟进待办'!$A$8:$A$207,T203)&lt;&gt;1),AND(U203&lt;&gt;"",COUNTIF('沟通记录'!$A$8:$A$207,U203)&lt;&gt;1)),"检查编号或关联","正常"))</f>
        <v/>
      </c>
    </row>
    <row r="204" ht="34" customHeight="1">
      <c r="A204" s="32" t="n"/>
      <c r="B204" s="32" t="n"/>
      <c r="C204" s="34">
        <f>IF(B204="","",IF(COUNTIF('用胶项目'!$A$8:$A$207,B204)&lt;&gt;1,"编号缺失或重复",INDEX('用胶项目'!$B$8:$B$207,MATCH(B204,'用胶项目'!$A$8:$A$207,0))))</f>
        <v/>
      </c>
      <c r="D204" s="32" t="n"/>
      <c r="E204" s="10" t="n"/>
      <c r="F204" s="38" t="n"/>
      <c r="G204" s="10" t="n"/>
      <c r="H204" s="10" t="n"/>
      <c r="I204" s="10" t="n"/>
      <c r="J204" s="33" t="n"/>
      <c r="K204" s="32" t="n"/>
      <c r="L204" s="33" t="n"/>
      <c r="M204" s="32" t="n"/>
      <c r="N204" s="33" t="n"/>
      <c r="O204" s="10" t="n"/>
      <c r="P204" s="10" t="n"/>
      <c r="Q204" s="10" t="n"/>
      <c r="R204" s="10" t="n"/>
      <c r="S204" s="10" t="n"/>
      <c r="T204" s="32" t="n"/>
      <c r="U204" s="32" t="n"/>
      <c r="V204" s="16">
        <f>IF(A204="","",IF(OR(COUNTIF($A$8:$A$207,A204)&lt;&gt;1,COUNTIF('用胶项目'!$A$8:$A$207,B204)&lt;&gt;1,AND(D204&lt;&gt;"",COUNTIF('联系人'!$A$8:$A$207,D204)&lt;&gt;1),AND(M204&lt;&gt;"",COUNTIF('联系人'!$A$8:$A$207,M204)&lt;&gt;1),AND(T204&lt;&gt;"",COUNTIF('跟进待办'!$A$8:$A$207,T204)&lt;&gt;1),AND(U204&lt;&gt;"",COUNTIF('沟通记录'!$A$8:$A$207,U204)&lt;&gt;1)),"检查编号或关联","正常"))</f>
        <v/>
      </c>
    </row>
    <row r="205" ht="34" customHeight="1">
      <c r="A205" s="32" t="n"/>
      <c r="B205" s="32" t="n"/>
      <c r="C205" s="34">
        <f>IF(B205="","",IF(COUNTIF('用胶项目'!$A$8:$A$207,B205)&lt;&gt;1,"编号缺失或重复",INDEX('用胶项目'!$B$8:$B$207,MATCH(B205,'用胶项目'!$A$8:$A$207,0))))</f>
        <v/>
      </c>
      <c r="D205" s="32" t="n"/>
      <c r="E205" s="10" t="n"/>
      <c r="F205" s="38" t="n"/>
      <c r="G205" s="10" t="n"/>
      <c r="H205" s="10" t="n"/>
      <c r="I205" s="10" t="n"/>
      <c r="J205" s="33" t="n"/>
      <c r="K205" s="32" t="n"/>
      <c r="L205" s="33" t="n"/>
      <c r="M205" s="32" t="n"/>
      <c r="N205" s="33" t="n"/>
      <c r="O205" s="10" t="n"/>
      <c r="P205" s="10" t="n"/>
      <c r="Q205" s="10" t="n"/>
      <c r="R205" s="10" t="n"/>
      <c r="S205" s="10" t="n"/>
      <c r="T205" s="32" t="n"/>
      <c r="U205" s="32" t="n"/>
      <c r="V205" s="16">
        <f>IF(A205="","",IF(OR(COUNTIF($A$8:$A$207,A205)&lt;&gt;1,COUNTIF('用胶项目'!$A$8:$A$207,B205)&lt;&gt;1,AND(D205&lt;&gt;"",COUNTIF('联系人'!$A$8:$A$207,D205)&lt;&gt;1),AND(M205&lt;&gt;"",COUNTIF('联系人'!$A$8:$A$207,M205)&lt;&gt;1),AND(T205&lt;&gt;"",COUNTIF('跟进待办'!$A$8:$A$207,T205)&lt;&gt;1),AND(U205&lt;&gt;"",COUNTIF('沟通记录'!$A$8:$A$207,U205)&lt;&gt;1)),"检查编号或关联","正常"))</f>
        <v/>
      </c>
    </row>
    <row r="206" ht="34" customHeight="1">
      <c r="A206" s="32" t="n"/>
      <c r="B206" s="32" t="n"/>
      <c r="C206" s="34">
        <f>IF(B206="","",IF(COUNTIF('用胶项目'!$A$8:$A$207,B206)&lt;&gt;1,"编号缺失或重复",INDEX('用胶项目'!$B$8:$B$207,MATCH(B206,'用胶项目'!$A$8:$A$207,0))))</f>
        <v/>
      </c>
      <c r="D206" s="32" t="n"/>
      <c r="E206" s="10" t="n"/>
      <c r="F206" s="38" t="n"/>
      <c r="G206" s="10" t="n"/>
      <c r="H206" s="10" t="n"/>
      <c r="I206" s="10" t="n"/>
      <c r="J206" s="33" t="n"/>
      <c r="K206" s="32" t="n"/>
      <c r="L206" s="33" t="n"/>
      <c r="M206" s="32" t="n"/>
      <c r="N206" s="33" t="n"/>
      <c r="O206" s="10" t="n"/>
      <c r="P206" s="10" t="n"/>
      <c r="Q206" s="10" t="n"/>
      <c r="R206" s="10" t="n"/>
      <c r="S206" s="10" t="n"/>
      <c r="T206" s="32" t="n"/>
      <c r="U206" s="32" t="n"/>
      <c r="V206" s="16">
        <f>IF(A206="","",IF(OR(COUNTIF($A$8:$A$207,A206)&lt;&gt;1,COUNTIF('用胶项目'!$A$8:$A$207,B206)&lt;&gt;1,AND(D206&lt;&gt;"",COUNTIF('联系人'!$A$8:$A$207,D206)&lt;&gt;1),AND(M206&lt;&gt;"",COUNTIF('联系人'!$A$8:$A$207,M206)&lt;&gt;1),AND(T206&lt;&gt;"",COUNTIF('跟进待办'!$A$8:$A$207,T206)&lt;&gt;1),AND(U206&lt;&gt;"",COUNTIF('沟通记录'!$A$8:$A$207,U206)&lt;&gt;1)),"检查编号或关联","正常"))</f>
        <v/>
      </c>
    </row>
    <row r="207" ht="34" customHeight="1">
      <c r="A207" s="32" t="n"/>
      <c r="B207" s="32" t="n"/>
      <c r="C207" s="34">
        <f>IF(B207="","",IF(COUNTIF('用胶项目'!$A$8:$A$207,B207)&lt;&gt;1,"编号缺失或重复",INDEX('用胶项目'!$B$8:$B$207,MATCH(B207,'用胶项目'!$A$8:$A$207,0))))</f>
        <v/>
      </c>
      <c r="D207" s="32" t="n"/>
      <c r="E207" s="10" t="n"/>
      <c r="F207" s="38" t="n"/>
      <c r="G207" s="10" t="n"/>
      <c r="H207" s="10" t="n"/>
      <c r="I207" s="10" t="n"/>
      <c r="J207" s="33" t="n"/>
      <c r="K207" s="32" t="n"/>
      <c r="L207" s="33" t="n"/>
      <c r="M207" s="32" t="n"/>
      <c r="N207" s="33" t="n"/>
      <c r="O207" s="10" t="n"/>
      <c r="P207" s="10" t="n"/>
      <c r="Q207" s="10" t="n"/>
      <c r="R207" s="10" t="n"/>
      <c r="S207" s="10" t="n"/>
      <c r="T207" s="32" t="n"/>
      <c r="U207" s="32" t="n"/>
      <c r="V207" s="16">
        <f>IF(A207="","",IF(OR(COUNTIF($A$8:$A$207,A207)&lt;&gt;1,COUNTIF('用胶项目'!$A$8:$A$207,B207)&lt;&gt;1,AND(D207&lt;&gt;"",COUNTIF('联系人'!$A$8:$A$207,D207)&lt;&gt;1),AND(M207&lt;&gt;"",COUNTIF('联系人'!$A$8:$A$207,M207)&lt;&gt;1),AND(T207&lt;&gt;"",COUNTIF('跟进待办'!$A$8:$A$207,T207)&lt;&gt;1),AND(U207&lt;&gt;"",COUNTIF('沟通记录'!$A$8:$A$207,U207)&lt;&gt;1)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V8:V207">
    <cfRule type="containsText" priority="2" operator="containsText" dxfId="0" text="检查"/>
  </conditionalFormatting>
  <dataValidations count="4">
    <dataValidation sqref="G8:G207" showDropDown="0" showInputMessage="0" showErrorMessage="0" allowBlank="0" type="list">
      <formula1>"g,kg,mL,L,支,片,套"</formula1>
    </dataValidation>
    <dataValidation sqref="O8:O207" showDropDown="0" showInputMessage="0" showErrorMessage="0" allowBlank="0" type="list">
      <formula1>"客户约定,本人计划,待确认"</formula1>
    </dataValidation>
    <dataValidation sqref="Q8:Q207" showDropDown="0" showInputMessage="0" showErrorMessage="0" allowBlank="0" type="list">
      <formula1>"待确认,待寄出,已寄出,已签收,测试中,通过,不通过,暂停,取消"</formula1>
    </dataValidation>
    <dataValidation sqref="F8:F207" showDropDown="0" showInputMessage="0" showErrorMessage="0" allowBlank="0" type="decimal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8297AA"/>
    <outlinePr summaryBelow="1" summaryRight="1"/>
    <pageSetUpPr/>
  </sheetPr>
  <dimension ref="A1:Q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36" customWidth="1" min="3" max="3"/>
    <col width="36" customWidth="1" min="4" max="4"/>
    <col width="19" customWidth="1" min="5" max="5"/>
    <col width="16" customWidth="1" min="6" max="6"/>
    <col width="36" customWidth="1" min="7" max="7"/>
    <col width="19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19" customWidth="1" min="17" max="17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4" customHeight="1">
      <c r="A2" s="4" t="inlineStr">
        <is>
          <t>技术经验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4" customHeight="1">
      <c r="A3" s="5" t="inlineStr">
        <is>
          <t>一行一个真实问题及答复。保留推荐理由、适用边界和实际结果；经验不能替代正式产品资料。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00" customHeight="1">
      <c r="A5" s="7" t="inlineStr">
        <is>
          <t>K示例001</t>
        </is>
      </c>
      <c r="B5" s="7" t="inlineStr">
        <is>
          <t>J示例001</t>
        </is>
      </c>
      <c r="C5" s="7" t="inlineStr">
        <is>
          <t>这个部位适合什么胶？〔虚构〕</t>
        </is>
      </c>
      <c r="D5" s="7" t="inlineStr">
        <is>
          <t>基材、工艺和测试条件尚未补齐</t>
        </is>
      </c>
      <c r="E5" s="7" t="inlineStr">
        <is>
          <t>待请教</t>
        </is>
      </c>
      <c r="F5" s="29" t="str"/>
      <c r="G5" s="7" t="inlineStr">
        <is>
          <t>尚未取得答复</t>
        </is>
      </c>
      <c r="H5" s="7" t="str"/>
      <c r="I5" s="7" t="str"/>
      <c r="J5" s="7" t="str"/>
      <c r="K5" s="7" t="str"/>
      <c r="L5" s="7" t="str"/>
      <c r="M5" s="7" t="inlineStr">
        <is>
          <t>待答复</t>
        </is>
      </c>
      <c r="N5" s="7" t="str"/>
      <c r="O5" s="7" t="inlineStr">
        <is>
          <t>V示例001</t>
        </is>
      </c>
      <c r="P5" s="7" t="inlineStr">
        <is>
          <t>T示例001：先收集应用条件</t>
        </is>
      </c>
      <c r="Q5" s="7" t="inlineStr">
        <is>
          <t>示例</t>
        </is>
      </c>
    </row>
    <row r="6" ht="34" customHeight="1">
      <c r="A6" s="3" t="n"/>
      <c r="B6" s="3" t="n"/>
      <c r="C6" s="3" t="n"/>
      <c r="D6" s="3" t="n"/>
      <c r="E6" s="3" t="n"/>
      <c r="F6" s="30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 ht="42" customHeight="1">
      <c r="A7" s="9" t="inlineStr">
        <is>
          <t>问答编号</t>
        </is>
      </c>
      <c r="B7" s="9" t="inlineStr">
        <is>
          <t>项目编号</t>
        </is>
      </c>
      <c r="C7" s="9" t="inlineStr">
        <is>
          <t>客户问题原话</t>
        </is>
      </c>
      <c r="D7" s="9" t="inlineStr">
        <is>
          <t>应用条件</t>
        </is>
      </c>
      <c r="E7" s="9" t="inlineStr">
        <is>
          <t>答复人</t>
        </is>
      </c>
      <c r="F7" s="31" t="inlineStr">
        <is>
          <t>答复日期</t>
        </is>
      </c>
      <c r="G7" s="9" t="inlineStr">
        <is>
          <t>答复原文</t>
        </is>
      </c>
      <c r="H7" s="9" t="inlineStr">
        <is>
          <t>候选或推荐型号</t>
        </is>
      </c>
      <c r="I7" s="9" t="inlineStr">
        <is>
          <t>为什么选它</t>
        </is>
      </c>
      <c r="J7" s="9" t="inlineStr">
        <is>
          <t>其他方案及排除原因</t>
        </is>
      </c>
      <c r="K7" s="9" t="inlineStr">
        <is>
          <t>不适用条件</t>
        </is>
      </c>
      <c r="L7" s="9" t="inlineStr">
        <is>
          <t>正式资料及版本定位</t>
        </is>
      </c>
      <c r="M7" s="9" t="inlineStr">
        <is>
          <t>证据状态</t>
        </is>
      </c>
      <c r="N7" s="9" t="inlineStr">
        <is>
          <t>客户测试反馈</t>
        </is>
      </c>
      <c r="O7" s="9" t="inlineStr">
        <is>
          <t>来源沟通编号</t>
        </is>
      </c>
      <c r="P7" s="9" t="inlineStr">
        <is>
          <t>待核问题与任务编号</t>
        </is>
      </c>
      <c r="Q7" s="9" t="inlineStr">
        <is>
          <t>关联检查〔自动〕</t>
        </is>
      </c>
    </row>
    <row r="8" ht="34" customHeight="1">
      <c r="A8" s="32" t="n"/>
      <c r="B8" s="32" t="n"/>
      <c r="C8" s="10" t="n"/>
      <c r="D8" s="10" t="n"/>
      <c r="E8" s="10" t="n"/>
      <c r="F8" s="33" t="n"/>
      <c r="G8" s="10" t="n"/>
      <c r="H8" s="10" t="n"/>
      <c r="I8" s="10" t="n"/>
      <c r="J8" s="10" t="n"/>
      <c r="K8" s="10" t="n"/>
      <c r="L8" s="10" t="n"/>
      <c r="M8" s="10" t="n"/>
      <c r="N8" s="10" t="n"/>
      <c r="O8" s="32" t="n"/>
      <c r="P8" s="32" t="n"/>
      <c r="Q8" s="16">
        <f>IF(A8="","",IF(OR(COUNTIF($A$8:$A$207,A8)&lt;&gt;1,AND(B8&lt;&gt;"",COUNTIF('用胶项目'!$A$8:$A$207,B8)&lt;&gt;1),AND(O8&lt;&gt;"",COUNTIF('沟通记录'!$A$8:$A$207,O8)&lt;&gt;1)),"检查编号或关联","正常"))</f>
        <v/>
      </c>
    </row>
    <row r="9" ht="34" customHeight="1">
      <c r="A9" s="32" t="n"/>
      <c r="B9" s="32" t="n"/>
      <c r="C9" s="10" t="n"/>
      <c r="D9" s="10" t="n"/>
      <c r="E9" s="10" t="n"/>
      <c r="F9" s="33" t="n"/>
      <c r="G9" s="10" t="n"/>
      <c r="H9" s="10" t="n"/>
      <c r="I9" s="10" t="n"/>
      <c r="J9" s="10" t="n"/>
      <c r="K9" s="10" t="n"/>
      <c r="L9" s="10" t="n"/>
      <c r="M9" s="10" t="n"/>
      <c r="N9" s="10" t="n"/>
      <c r="O9" s="32" t="n"/>
      <c r="P9" s="32" t="n"/>
      <c r="Q9" s="16">
        <f>IF(A9="","",IF(OR(COUNTIF($A$8:$A$207,A9)&lt;&gt;1,AND(B9&lt;&gt;"",COUNTIF('用胶项目'!$A$8:$A$207,B9)&lt;&gt;1),AND(O9&lt;&gt;"",COUNTIF('沟通记录'!$A$8:$A$207,O9)&lt;&gt;1)),"检查编号或关联","正常"))</f>
        <v/>
      </c>
    </row>
    <row r="10" ht="34" customHeight="1">
      <c r="A10" s="32" t="n"/>
      <c r="B10" s="32" t="n"/>
      <c r="C10" s="10" t="n"/>
      <c r="D10" s="10" t="n"/>
      <c r="E10" s="10" t="n"/>
      <c r="F10" s="33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32" t="n"/>
      <c r="P10" s="32" t="n"/>
      <c r="Q10" s="16">
        <f>IF(A10="","",IF(OR(COUNTIF($A$8:$A$207,A10)&lt;&gt;1,AND(B10&lt;&gt;"",COUNTIF('用胶项目'!$A$8:$A$207,B10)&lt;&gt;1),AND(O10&lt;&gt;"",COUNTIF('沟通记录'!$A$8:$A$207,O10)&lt;&gt;1)),"检查编号或关联","正常"))</f>
        <v/>
      </c>
    </row>
    <row r="11" ht="34" customHeight="1">
      <c r="A11" s="32" t="n"/>
      <c r="B11" s="32" t="n"/>
      <c r="C11" s="10" t="n"/>
      <c r="D11" s="10" t="n"/>
      <c r="E11" s="10" t="n"/>
      <c r="F11" s="33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32" t="n"/>
      <c r="P11" s="32" t="n"/>
      <c r="Q11" s="16">
        <f>IF(A11="","",IF(OR(COUNTIF($A$8:$A$207,A11)&lt;&gt;1,AND(B11&lt;&gt;"",COUNTIF('用胶项目'!$A$8:$A$207,B11)&lt;&gt;1),AND(O11&lt;&gt;"",COUNTIF('沟通记录'!$A$8:$A$207,O11)&lt;&gt;1)),"检查编号或关联","正常"))</f>
        <v/>
      </c>
    </row>
    <row r="12" ht="34" customHeight="1">
      <c r="A12" s="32" t="n"/>
      <c r="B12" s="32" t="n"/>
      <c r="C12" s="10" t="n"/>
      <c r="D12" s="10" t="n"/>
      <c r="E12" s="10" t="n"/>
      <c r="F12" s="33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32" t="n"/>
      <c r="P12" s="32" t="n"/>
      <c r="Q12" s="16">
        <f>IF(A12="","",IF(OR(COUNTIF($A$8:$A$207,A12)&lt;&gt;1,AND(B12&lt;&gt;"",COUNTIF('用胶项目'!$A$8:$A$207,B12)&lt;&gt;1),AND(O12&lt;&gt;"",COUNTIF('沟通记录'!$A$8:$A$207,O12)&lt;&gt;1)),"检查编号或关联","正常"))</f>
        <v/>
      </c>
    </row>
    <row r="13" ht="34" customHeight="1">
      <c r="A13" s="32" t="n"/>
      <c r="B13" s="32" t="n"/>
      <c r="C13" s="10" t="n"/>
      <c r="D13" s="10" t="n"/>
      <c r="E13" s="10" t="n"/>
      <c r="F13" s="33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32" t="n"/>
      <c r="P13" s="32" t="n"/>
      <c r="Q13" s="16">
        <f>IF(A13="","",IF(OR(COUNTIF($A$8:$A$207,A13)&lt;&gt;1,AND(B13&lt;&gt;"",COUNTIF('用胶项目'!$A$8:$A$207,B13)&lt;&gt;1),AND(O13&lt;&gt;"",COUNTIF('沟通记录'!$A$8:$A$207,O13)&lt;&gt;1)),"检查编号或关联","正常"))</f>
        <v/>
      </c>
    </row>
    <row r="14" ht="34" customHeight="1">
      <c r="A14" s="32" t="n"/>
      <c r="B14" s="32" t="n"/>
      <c r="C14" s="10" t="n"/>
      <c r="D14" s="10" t="n"/>
      <c r="E14" s="10" t="n"/>
      <c r="F14" s="33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32" t="n"/>
      <c r="P14" s="32" t="n"/>
      <c r="Q14" s="16">
        <f>IF(A14="","",IF(OR(COUNTIF($A$8:$A$207,A14)&lt;&gt;1,AND(B14&lt;&gt;"",COUNTIF('用胶项目'!$A$8:$A$207,B14)&lt;&gt;1),AND(O14&lt;&gt;"",COUNTIF('沟通记录'!$A$8:$A$207,O14)&lt;&gt;1)),"检查编号或关联","正常"))</f>
        <v/>
      </c>
    </row>
    <row r="15" ht="34" customHeight="1">
      <c r="A15" s="32" t="n"/>
      <c r="B15" s="32" t="n"/>
      <c r="C15" s="10" t="n"/>
      <c r="D15" s="10" t="n"/>
      <c r="E15" s="10" t="n"/>
      <c r="F15" s="33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32" t="n"/>
      <c r="P15" s="32" t="n"/>
      <c r="Q15" s="16">
        <f>IF(A15="","",IF(OR(COUNTIF($A$8:$A$207,A15)&lt;&gt;1,AND(B15&lt;&gt;"",COUNTIF('用胶项目'!$A$8:$A$207,B15)&lt;&gt;1),AND(O15&lt;&gt;"",COUNTIF('沟通记录'!$A$8:$A$207,O15)&lt;&gt;1)),"检查编号或关联","正常"))</f>
        <v/>
      </c>
    </row>
    <row r="16" ht="34" customHeight="1">
      <c r="A16" s="32" t="n"/>
      <c r="B16" s="32" t="n"/>
      <c r="C16" s="10" t="n"/>
      <c r="D16" s="10" t="n"/>
      <c r="E16" s="10" t="n"/>
      <c r="F16" s="33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32" t="n"/>
      <c r="P16" s="32" t="n"/>
      <c r="Q16" s="16">
        <f>IF(A16="","",IF(OR(COUNTIF($A$8:$A$207,A16)&lt;&gt;1,AND(B16&lt;&gt;"",COUNTIF('用胶项目'!$A$8:$A$207,B16)&lt;&gt;1),AND(O16&lt;&gt;"",COUNTIF('沟通记录'!$A$8:$A$207,O16)&lt;&gt;1)),"检查编号或关联","正常"))</f>
        <v/>
      </c>
    </row>
    <row r="17" ht="34" customHeight="1">
      <c r="A17" s="32" t="n"/>
      <c r="B17" s="32" t="n"/>
      <c r="C17" s="10" t="n"/>
      <c r="D17" s="10" t="n"/>
      <c r="E17" s="10" t="n"/>
      <c r="F17" s="33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32" t="n"/>
      <c r="P17" s="32" t="n"/>
      <c r="Q17" s="16">
        <f>IF(A17="","",IF(OR(COUNTIF($A$8:$A$207,A17)&lt;&gt;1,AND(B17&lt;&gt;"",COUNTIF('用胶项目'!$A$8:$A$207,B17)&lt;&gt;1),AND(O17&lt;&gt;"",COUNTIF('沟通记录'!$A$8:$A$207,O17)&lt;&gt;1)),"检查编号或关联","正常"))</f>
        <v/>
      </c>
    </row>
    <row r="18" ht="34" customHeight="1">
      <c r="A18" s="32" t="n"/>
      <c r="B18" s="32" t="n"/>
      <c r="C18" s="10" t="n"/>
      <c r="D18" s="10" t="n"/>
      <c r="E18" s="10" t="n"/>
      <c r="F18" s="33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32" t="n"/>
      <c r="P18" s="32" t="n"/>
      <c r="Q18" s="16">
        <f>IF(A18="","",IF(OR(COUNTIF($A$8:$A$207,A18)&lt;&gt;1,AND(B18&lt;&gt;"",COUNTIF('用胶项目'!$A$8:$A$207,B18)&lt;&gt;1),AND(O18&lt;&gt;"",COUNTIF('沟通记录'!$A$8:$A$207,O18)&lt;&gt;1)),"检查编号或关联","正常"))</f>
        <v/>
      </c>
    </row>
    <row r="19" ht="34" customHeight="1">
      <c r="A19" s="32" t="n"/>
      <c r="B19" s="32" t="n"/>
      <c r="C19" s="10" t="n"/>
      <c r="D19" s="10" t="n"/>
      <c r="E19" s="10" t="n"/>
      <c r="F19" s="33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32" t="n"/>
      <c r="P19" s="32" t="n"/>
      <c r="Q19" s="16">
        <f>IF(A19="","",IF(OR(COUNTIF($A$8:$A$207,A19)&lt;&gt;1,AND(B19&lt;&gt;"",COUNTIF('用胶项目'!$A$8:$A$207,B19)&lt;&gt;1),AND(O19&lt;&gt;"",COUNTIF('沟通记录'!$A$8:$A$207,O19)&lt;&gt;1)),"检查编号或关联","正常"))</f>
        <v/>
      </c>
    </row>
    <row r="20" ht="34" customHeight="1">
      <c r="A20" s="32" t="n"/>
      <c r="B20" s="32" t="n"/>
      <c r="C20" s="10" t="n"/>
      <c r="D20" s="10" t="n"/>
      <c r="E20" s="10" t="n"/>
      <c r="F20" s="33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32" t="n"/>
      <c r="P20" s="32" t="n"/>
      <c r="Q20" s="16">
        <f>IF(A20="","",IF(OR(COUNTIF($A$8:$A$207,A20)&lt;&gt;1,AND(B20&lt;&gt;"",COUNTIF('用胶项目'!$A$8:$A$207,B20)&lt;&gt;1),AND(O20&lt;&gt;"",COUNTIF('沟通记录'!$A$8:$A$207,O20)&lt;&gt;1)),"检查编号或关联","正常"))</f>
        <v/>
      </c>
    </row>
    <row r="21" ht="34" customHeight="1">
      <c r="A21" s="32" t="n"/>
      <c r="B21" s="32" t="n"/>
      <c r="C21" s="10" t="n"/>
      <c r="D21" s="10" t="n"/>
      <c r="E21" s="10" t="n"/>
      <c r="F21" s="33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32" t="n"/>
      <c r="P21" s="32" t="n"/>
      <c r="Q21" s="16">
        <f>IF(A21="","",IF(OR(COUNTIF($A$8:$A$207,A21)&lt;&gt;1,AND(B21&lt;&gt;"",COUNTIF('用胶项目'!$A$8:$A$207,B21)&lt;&gt;1),AND(O21&lt;&gt;"",COUNTIF('沟通记录'!$A$8:$A$207,O21)&lt;&gt;1)),"检查编号或关联","正常"))</f>
        <v/>
      </c>
    </row>
    <row r="22" ht="34" customHeight="1">
      <c r="A22" s="32" t="n"/>
      <c r="B22" s="32" t="n"/>
      <c r="C22" s="10" t="n"/>
      <c r="D22" s="10" t="n"/>
      <c r="E22" s="10" t="n"/>
      <c r="F22" s="33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32" t="n"/>
      <c r="P22" s="32" t="n"/>
      <c r="Q22" s="16">
        <f>IF(A22="","",IF(OR(COUNTIF($A$8:$A$207,A22)&lt;&gt;1,AND(B22&lt;&gt;"",COUNTIF('用胶项目'!$A$8:$A$207,B22)&lt;&gt;1),AND(O22&lt;&gt;"",COUNTIF('沟通记录'!$A$8:$A$207,O22)&lt;&gt;1)),"检查编号或关联","正常"))</f>
        <v/>
      </c>
    </row>
    <row r="23" ht="34" customHeight="1">
      <c r="A23" s="32" t="n"/>
      <c r="B23" s="32" t="n"/>
      <c r="C23" s="10" t="n"/>
      <c r="D23" s="10" t="n"/>
      <c r="E23" s="10" t="n"/>
      <c r="F23" s="33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32" t="n"/>
      <c r="P23" s="32" t="n"/>
      <c r="Q23" s="16">
        <f>IF(A23="","",IF(OR(COUNTIF($A$8:$A$207,A23)&lt;&gt;1,AND(B23&lt;&gt;"",COUNTIF('用胶项目'!$A$8:$A$207,B23)&lt;&gt;1),AND(O23&lt;&gt;"",COUNTIF('沟通记录'!$A$8:$A$207,O23)&lt;&gt;1)),"检查编号或关联","正常"))</f>
        <v/>
      </c>
    </row>
    <row r="24" ht="34" customHeight="1">
      <c r="A24" s="32" t="n"/>
      <c r="B24" s="32" t="n"/>
      <c r="C24" s="10" t="n"/>
      <c r="D24" s="10" t="n"/>
      <c r="E24" s="10" t="n"/>
      <c r="F24" s="33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32" t="n"/>
      <c r="P24" s="32" t="n"/>
      <c r="Q24" s="16">
        <f>IF(A24="","",IF(OR(COUNTIF($A$8:$A$207,A24)&lt;&gt;1,AND(B24&lt;&gt;"",COUNTIF('用胶项目'!$A$8:$A$207,B24)&lt;&gt;1),AND(O24&lt;&gt;"",COUNTIF('沟通记录'!$A$8:$A$207,O24)&lt;&gt;1)),"检查编号或关联","正常"))</f>
        <v/>
      </c>
    </row>
    <row r="25" ht="34" customHeight="1">
      <c r="A25" s="32" t="n"/>
      <c r="B25" s="32" t="n"/>
      <c r="C25" s="10" t="n"/>
      <c r="D25" s="10" t="n"/>
      <c r="E25" s="10" t="n"/>
      <c r="F25" s="33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32" t="n"/>
      <c r="P25" s="32" t="n"/>
      <c r="Q25" s="16">
        <f>IF(A25="","",IF(OR(COUNTIF($A$8:$A$207,A25)&lt;&gt;1,AND(B25&lt;&gt;"",COUNTIF('用胶项目'!$A$8:$A$207,B25)&lt;&gt;1),AND(O25&lt;&gt;"",COUNTIF('沟通记录'!$A$8:$A$207,O25)&lt;&gt;1)),"检查编号或关联","正常"))</f>
        <v/>
      </c>
    </row>
    <row r="26" ht="34" customHeight="1">
      <c r="A26" s="32" t="n"/>
      <c r="B26" s="32" t="n"/>
      <c r="C26" s="10" t="n"/>
      <c r="D26" s="10" t="n"/>
      <c r="E26" s="10" t="n"/>
      <c r="F26" s="33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32" t="n"/>
      <c r="P26" s="32" t="n"/>
      <c r="Q26" s="16">
        <f>IF(A26="","",IF(OR(COUNTIF($A$8:$A$207,A26)&lt;&gt;1,AND(B26&lt;&gt;"",COUNTIF('用胶项目'!$A$8:$A$207,B26)&lt;&gt;1),AND(O26&lt;&gt;"",COUNTIF('沟通记录'!$A$8:$A$207,O26)&lt;&gt;1)),"检查编号或关联","正常"))</f>
        <v/>
      </c>
    </row>
    <row r="27" ht="34" customHeight="1">
      <c r="A27" s="32" t="n"/>
      <c r="B27" s="32" t="n"/>
      <c r="C27" s="10" t="n"/>
      <c r="D27" s="10" t="n"/>
      <c r="E27" s="10" t="n"/>
      <c r="F27" s="33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32" t="n"/>
      <c r="P27" s="32" t="n"/>
      <c r="Q27" s="16">
        <f>IF(A27="","",IF(OR(COUNTIF($A$8:$A$207,A27)&lt;&gt;1,AND(B27&lt;&gt;"",COUNTIF('用胶项目'!$A$8:$A$207,B27)&lt;&gt;1),AND(O27&lt;&gt;"",COUNTIF('沟通记录'!$A$8:$A$207,O27)&lt;&gt;1)),"检查编号或关联","正常"))</f>
        <v/>
      </c>
    </row>
    <row r="28" ht="34" customHeight="1">
      <c r="A28" s="32" t="n"/>
      <c r="B28" s="32" t="n"/>
      <c r="C28" s="10" t="n"/>
      <c r="D28" s="10" t="n"/>
      <c r="E28" s="10" t="n"/>
      <c r="F28" s="33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32" t="n"/>
      <c r="P28" s="32" t="n"/>
      <c r="Q28" s="16">
        <f>IF(A28="","",IF(OR(COUNTIF($A$8:$A$207,A28)&lt;&gt;1,AND(B28&lt;&gt;"",COUNTIF('用胶项目'!$A$8:$A$207,B28)&lt;&gt;1),AND(O28&lt;&gt;"",COUNTIF('沟通记录'!$A$8:$A$207,O28)&lt;&gt;1)),"检查编号或关联","正常"))</f>
        <v/>
      </c>
    </row>
    <row r="29" ht="34" customHeight="1">
      <c r="A29" s="32" t="n"/>
      <c r="B29" s="32" t="n"/>
      <c r="C29" s="10" t="n"/>
      <c r="D29" s="10" t="n"/>
      <c r="E29" s="10" t="n"/>
      <c r="F29" s="33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32" t="n"/>
      <c r="P29" s="32" t="n"/>
      <c r="Q29" s="16">
        <f>IF(A29="","",IF(OR(COUNTIF($A$8:$A$207,A29)&lt;&gt;1,AND(B29&lt;&gt;"",COUNTIF('用胶项目'!$A$8:$A$207,B29)&lt;&gt;1),AND(O29&lt;&gt;"",COUNTIF('沟通记录'!$A$8:$A$207,O29)&lt;&gt;1)),"检查编号或关联","正常"))</f>
        <v/>
      </c>
    </row>
    <row r="30" ht="34" customHeight="1">
      <c r="A30" s="32" t="n"/>
      <c r="B30" s="32" t="n"/>
      <c r="C30" s="10" t="n"/>
      <c r="D30" s="10" t="n"/>
      <c r="E30" s="10" t="n"/>
      <c r="F30" s="33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32" t="n"/>
      <c r="P30" s="32" t="n"/>
      <c r="Q30" s="16">
        <f>IF(A30="","",IF(OR(COUNTIF($A$8:$A$207,A30)&lt;&gt;1,AND(B30&lt;&gt;"",COUNTIF('用胶项目'!$A$8:$A$207,B30)&lt;&gt;1),AND(O30&lt;&gt;"",COUNTIF('沟通记录'!$A$8:$A$207,O30)&lt;&gt;1)),"检查编号或关联","正常"))</f>
        <v/>
      </c>
    </row>
    <row r="31" ht="34" customHeight="1">
      <c r="A31" s="32" t="n"/>
      <c r="B31" s="32" t="n"/>
      <c r="C31" s="10" t="n"/>
      <c r="D31" s="10" t="n"/>
      <c r="E31" s="10" t="n"/>
      <c r="F31" s="33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32" t="n"/>
      <c r="P31" s="32" t="n"/>
      <c r="Q31" s="16">
        <f>IF(A31="","",IF(OR(COUNTIF($A$8:$A$207,A31)&lt;&gt;1,AND(B31&lt;&gt;"",COUNTIF('用胶项目'!$A$8:$A$207,B31)&lt;&gt;1),AND(O31&lt;&gt;"",COUNTIF('沟通记录'!$A$8:$A$207,O31)&lt;&gt;1)),"检查编号或关联","正常"))</f>
        <v/>
      </c>
    </row>
    <row r="32" ht="34" customHeight="1">
      <c r="A32" s="32" t="n"/>
      <c r="B32" s="32" t="n"/>
      <c r="C32" s="10" t="n"/>
      <c r="D32" s="10" t="n"/>
      <c r="E32" s="10" t="n"/>
      <c r="F32" s="33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32" t="n"/>
      <c r="P32" s="32" t="n"/>
      <c r="Q32" s="16">
        <f>IF(A32="","",IF(OR(COUNTIF($A$8:$A$207,A32)&lt;&gt;1,AND(B32&lt;&gt;"",COUNTIF('用胶项目'!$A$8:$A$207,B32)&lt;&gt;1),AND(O32&lt;&gt;"",COUNTIF('沟通记录'!$A$8:$A$207,O32)&lt;&gt;1)),"检查编号或关联","正常"))</f>
        <v/>
      </c>
    </row>
    <row r="33" ht="34" customHeight="1">
      <c r="A33" s="32" t="n"/>
      <c r="B33" s="32" t="n"/>
      <c r="C33" s="10" t="n"/>
      <c r="D33" s="10" t="n"/>
      <c r="E33" s="10" t="n"/>
      <c r="F33" s="33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32" t="n"/>
      <c r="P33" s="32" t="n"/>
      <c r="Q33" s="16">
        <f>IF(A33="","",IF(OR(COUNTIF($A$8:$A$207,A33)&lt;&gt;1,AND(B33&lt;&gt;"",COUNTIF('用胶项目'!$A$8:$A$207,B33)&lt;&gt;1),AND(O33&lt;&gt;"",COUNTIF('沟通记录'!$A$8:$A$207,O33)&lt;&gt;1)),"检查编号或关联","正常"))</f>
        <v/>
      </c>
    </row>
    <row r="34" ht="34" customHeight="1">
      <c r="A34" s="32" t="n"/>
      <c r="B34" s="32" t="n"/>
      <c r="C34" s="10" t="n"/>
      <c r="D34" s="10" t="n"/>
      <c r="E34" s="10" t="n"/>
      <c r="F34" s="33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32" t="n"/>
      <c r="P34" s="32" t="n"/>
      <c r="Q34" s="16">
        <f>IF(A34="","",IF(OR(COUNTIF($A$8:$A$207,A34)&lt;&gt;1,AND(B34&lt;&gt;"",COUNTIF('用胶项目'!$A$8:$A$207,B34)&lt;&gt;1),AND(O34&lt;&gt;"",COUNTIF('沟通记录'!$A$8:$A$207,O34)&lt;&gt;1)),"检查编号或关联","正常"))</f>
        <v/>
      </c>
    </row>
    <row r="35" ht="34" customHeight="1">
      <c r="A35" s="32" t="n"/>
      <c r="B35" s="32" t="n"/>
      <c r="C35" s="10" t="n"/>
      <c r="D35" s="10" t="n"/>
      <c r="E35" s="10" t="n"/>
      <c r="F35" s="33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32" t="n"/>
      <c r="P35" s="32" t="n"/>
      <c r="Q35" s="16">
        <f>IF(A35="","",IF(OR(COUNTIF($A$8:$A$207,A35)&lt;&gt;1,AND(B35&lt;&gt;"",COUNTIF('用胶项目'!$A$8:$A$207,B35)&lt;&gt;1),AND(O35&lt;&gt;"",COUNTIF('沟通记录'!$A$8:$A$207,O35)&lt;&gt;1)),"检查编号或关联","正常"))</f>
        <v/>
      </c>
    </row>
    <row r="36" ht="34" customHeight="1">
      <c r="A36" s="32" t="n"/>
      <c r="B36" s="32" t="n"/>
      <c r="C36" s="10" t="n"/>
      <c r="D36" s="10" t="n"/>
      <c r="E36" s="10" t="n"/>
      <c r="F36" s="33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32" t="n"/>
      <c r="P36" s="32" t="n"/>
      <c r="Q36" s="16">
        <f>IF(A36="","",IF(OR(COUNTIF($A$8:$A$207,A36)&lt;&gt;1,AND(B36&lt;&gt;"",COUNTIF('用胶项目'!$A$8:$A$207,B36)&lt;&gt;1),AND(O36&lt;&gt;"",COUNTIF('沟通记录'!$A$8:$A$207,O36)&lt;&gt;1)),"检查编号或关联","正常"))</f>
        <v/>
      </c>
    </row>
    <row r="37" ht="34" customHeight="1">
      <c r="A37" s="32" t="n"/>
      <c r="B37" s="32" t="n"/>
      <c r="C37" s="10" t="n"/>
      <c r="D37" s="10" t="n"/>
      <c r="E37" s="10" t="n"/>
      <c r="F37" s="33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32" t="n"/>
      <c r="P37" s="32" t="n"/>
      <c r="Q37" s="16">
        <f>IF(A37="","",IF(OR(COUNTIF($A$8:$A$207,A37)&lt;&gt;1,AND(B37&lt;&gt;"",COUNTIF('用胶项目'!$A$8:$A$207,B37)&lt;&gt;1),AND(O37&lt;&gt;"",COUNTIF('沟通记录'!$A$8:$A$207,O37)&lt;&gt;1)),"检查编号或关联","正常"))</f>
        <v/>
      </c>
    </row>
    <row r="38" ht="34" customHeight="1">
      <c r="A38" s="32" t="n"/>
      <c r="B38" s="32" t="n"/>
      <c r="C38" s="10" t="n"/>
      <c r="D38" s="10" t="n"/>
      <c r="E38" s="10" t="n"/>
      <c r="F38" s="33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32" t="n"/>
      <c r="P38" s="32" t="n"/>
      <c r="Q38" s="16">
        <f>IF(A38="","",IF(OR(COUNTIF($A$8:$A$207,A38)&lt;&gt;1,AND(B38&lt;&gt;"",COUNTIF('用胶项目'!$A$8:$A$207,B38)&lt;&gt;1),AND(O38&lt;&gt;"",COUNTIF('沟通记录'!$A$8:$A$207,O38)&lt;&gt;1)),"检查编号或关联","正常"))</f>
        <v/>
      </c>
    </row>
    <row r="39" ht="34" customHeight="1">
      <c r="A39" s="32" t="n"/>
      <c r="B39" s="32" t="n"/>
      <c r="C39" s="10" t="n"/>
      <c r="D39" s="10" t="n"/>
      <c r="E39" s="10" t="n"/>
      <c r="F39" s="33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32" t="n"/>
      <c r="P39" s="32" t="n"/>
      <c r="Q39" s="16">
        <f>IF(A39="","",IF(OR(COUNTIF($A$8:$A$207,A39)&lt;&gt;1,AND(B39&lt;&gt;"",COUNTIF('用胶项目'!$A$8:$A$207,B39)&lt;&gt;1),AND(O39&lt;&gt;"",COUNTIF('沟通记录'!$A$8:$A$207,O39)&lt;&gt;1)),"检查编号或关联","正常"))</f>
        <v/>
      </c>
    </row>
    <row r="40" ht="34" customHeight="1">
      <c r="A40" s="32" t="n"/>
      <c r="B40" s="32" t="n"/>
      <c r="C40" s="10" t="n"/>
      <c r="D40" s="10" t="n"/>
      <c r="E40" s="10" t="n"/>
      <c r="F40" s="33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32" t="n"/>
      <c r="P40" s="32" t="n"/>
      <c r="Q40" s="16">
        <f>IF(A40="","",IF(OR(COUNTIF($A$8:$A$207,A40)&lt;&gt;1,AND(B40&lt;&gt;"",COUNTIF('用胶项目'!$A$8:$A$207,B40)&lt;&gt;1),AND(O40&lt;&gt;"",COUNTIF('沟通记录'!$A$8:$A$207,O40)&lt;&gt;1)),"检查编号或关联","正常"))</f>
        <v/>
      </c>
    </row>
    <row r="41" ht="34" customHeight="1">
      <c r="A41" s="32" t="n"/>
      <c r="B41" s="32" t="n"/>
      <c r="C41" s="10" t="n"/>
      <c r="D41" s="10" t="n"/>
      <c r="E41" s="10" t="n"/>
      <c r="F41" s="33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32" t="n"/>
      <c r="P41" s="32" t="n"/>
      <c r="Q41" s="16">
        <f>IF(A41="","",IF(OR(COUNTIF($A$8:$A$207,A41)&lt;&gt;1,AND(B41&lt;&gt;"",COUNTIF('用胶项目'!$A$8:$A$207,B41)&lt;&gt;1),AND(O41&lt;&gt;"",COUNTIF('沟通记录'!$A$8:$A$207,O41)&lt;&gt;1)),"检查编号或关联","正常"))</f>
        <v/>
      </c>
    </row>
    <row r="42" ht="34" customHeight="1">
      <c r="A42" s="32" t="n"/>
      <c r="B42" s="32" t="n"/>
      <c r="C42" s="10" t="n"/>
      <c r="D42" s="10" t="n"/>
      <c r="E42" s="10" t="n"/>
      <c r="F42" s="33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32" t="n"/>
      <c r="P42" s="32" t="n"/>
      <c r="Q42" s="16">
        <f>IF(A42="","",IF(OR(COUNTIF($A$8:$A$207,A42)&lt;&gt;1,AND(B42&lt;&gt;"",COUNTIF('用胶项目'!$A$8:$A$207,B42)&lt;&gt;1),AND(O42&lt;&gt;"",COUNTIF('沟通记录'!$A$8:$A$207,O42)&lt;&gt;1)),"检查编号或关联","正常"))</f>
        <v/>
      </c>
    </row>
    <row r="43" ht="34" customHeight="1">
      <c r="A43" s="32" t="n"/>
      <c r="B43" s="32" t="n"/>
      <c r="C43" s="10" t="n"/>
      <c r="D43" s="10" t="n"/>
      <c r="E43" s="10" t="n"/>
      <c r="F43" s="33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32" t="n"/>
      <c r="P43" s="32" t="n"/>
      <c r="Q43" s="16">
        <f>IF(A43="","",IF(OR(COUNTIF($A$8:$A$207,A43)&lt;&gt;1,AND(B43&lt;&gt;"",COUNTIF('用胶项目'!$A$8:$A$207,B43)&lt;&gt;1),AND(O43&lt;&gt;"",COUNTIF('沟通记录'!$A$8:$A$207,O43)&lt;&gt;1)),"检查编号或关联","正常"))</f>
        <v/>
      </c>
    </row>
    <row r="44" ht="34" customHeight="1">
      <c r="A44" s="32" t="n"/>
      <c r="B44" s="32" t="n"/>
      <c r="C44" s="10" t="n"/>
      <c r="D44" s="10" t="n"/>
      <c r="E44" s="10" t="n"/>
      <c r="F44" s="33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32" t="n"/>
      <c r="P44" s="32" t="n"/>
      <c r="Q44" s="16">
        <f>IF(A44="","",IF(OR(COUNTIF($A$8:$A$207,A44)&lt;&gt;1,AND(B44&lt;&gt;"",COUNTIF('用胶项目'!$A$8:$A$207,B44)&lt;&gt;1),AND(O44&lt;&gt;"",COUNTIF('沟通记录'!$A$8:$A$207,O44)&lt;&gt;1)),"检查编号或关联","正常"))</f>
        <v/>
      </c>
    </row>
    <row r="45" ht="34" customHeight="1">
      <c r="A45" s="32" t="n"/>
      <c r="B45" s="32" t="n"/>
      <c r="C45" s="10" t="n"/>
      <c r="D45" s="10" t="n"/>
      <c r="E45" s="10" t="n"/>
      <c r="F45" s="33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32" t="n"/>
      <c r="P45" s="32" t="n"/>
      <c r="Q45" s="16">
        <f>IF(A45="","",IF(OR(COUNTIF($A$8:$A$207,A45)&lt;&gt;1,AND(B45&lt;&gt;"",COUNTIF('用胶项目'!$A$8:$A$207,B45)&lt;&gt;1),AND(O45&lt;&gt;"",COUNTIF('沟通记录'!$A$8:$A$207,O45)&lt;&gt;1)),"检查编号或关联","正常"))</f>
        <v/>
      </c>
    </row>
    <row r="46" ht="34" customHeight="1">
      <c r="A46" s="32" t="n"/>
      <c r="B46" s="32" t="n"/>
      <c r="C46" s="10" t="n"/>
      <c r="D46" s="10" t="n"/>
      <c r="E46" s="10" t="n"/>
      <c r="F46" s="33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32" t="n"/>
      <c r="P46" s="32" t="n"/>
      <c r="Q46" s="16">
        <f>IF(A46="","",IF(OR(COUNTIF($A$8:$A$207,A46)&lt;&gt;1,AND(B46&lt;&gt;"",COUNTIF('用胶项目'!$A$8:$A$207,B46)&lt;&gt;1),AND(O46&lt;&gt;"",COUNTIF('沟通记录'!$A$8:$A$207,O46)&lt;&gt;1)),"检查编号或关联","正常"))</f>
        <v/>
      </c>
    </row>
    <row r="47" ht="34" customHeight="1">
      <c r="A47" s="32" t="n"/>
      <c r="B47" s="32" t="n"/>
      <c r="C47" s="10" t="n"/>
      <c r="D47" s="10" t="n"/>
      <c r="E47" s="10" t="n"/>
      <c r="F47" s="33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32" t="n"/>
      <c r="P47" s="32" t="n"/>
      <c r="Q47" s="16">
        <f>IF(A47="","",IF(OR(COUNTIF($A$8:$A$207,A47)&lt;&gt;1,AND(B47&lt;&gt;"",COUNTIF('用胶项目'!$A$8:$A$207,B47)&lt;&gt;1),AND(O47&lt;&gt;"",COUNTIF('沟通记录'!$A$8:$A$207,O47)&lt;&gt;1)),"检查编号或关联","正常"))</f>
        <v/>
      </c>
    </row>
    <row r="48" ht="34" customHeight="1">
      <c r="A48" s="32" t="n"/>
      <c r="B48" s="32" t="n"/>
      <c r="C48" s="10" t="n"/>
      <c r="D48" s="10" t="n"/>
      <c r="E48" s="10" t="n"/>
      <c r="F48" s="33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32" t="n"/>
      <c r="P48" s="32" t="n"/>
      <c r="Q48" s="16">
        <f>IF(A48="","",IF(OR(COUNTIF($A$8:$A$207,A48)&lt;&gt;1,AND(B48&lt;&gt;"",COUNTIF('用胶项目'!$A$8:$A$207,B48)&lt;&gt;1),AND(O48&lt;&gt;"",COUNTIF('沟通记录'!$A$8:$A$207,O48)&lt;&gt;1)),"检查编号或关联","正常"))</f>
        <v/>
      </c>
    </row>
    <row r="49" ht="34" customHeight="1">
      <c r="A49" s="32" t="n"/>
      <c r="B49" s="32" t="n"/>
      <c r="C49" s="10" t="n"/>
      <c r="D49" s="10" t="n"/>
      <c r="E49" s="10" t="n"/>
      <c r="F49" s="33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32" t="n"/>
      <c r="P49" s="32" t="n"/>
      <c r="Q49" s="16">
        <f>IF(A49="","",IF(OR(COUNTIF($A$8:$A$207,A49)&lt;&gt;1,AND(B49&lt;&gt;"",COUNTIF('用胶项目'!$A$8:$A$207,B49)&lt;&gt;1),AND(O49&lt;&gt;"",COUNTIF('沟通记录'!$A$8:$A$207,O49)&lt;&gt;1)),"检查编号或关联","正常"))</f>
        <v/>
      </c>
    </row>
    <row r="50" ht="34" customHeight="1">
      <c r="A50" s="32" t="n"/>
      <c r="B50" s="32" t="n"/>
      <c r="C50" s="10" t="n"/>
      <c r="D50" s="10" t="n"/>
      <c r="E50" s="10" t="n"/>
      <c r="F50" s="33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32" t="n"/>
      <c r="P50" s="32" t="n"/>
      <c r="Q50" s="16">
        <f>IF(A50="","",IF(OR(COUNTIF($A$8:$A$207,A50)&lt;&gt;1,AND(B50&lt;&gt;"",COUNTIF('用胶项目'!$A$8:$A$207,B50)&lt;&gt;1),AND(O50&lt;&gt;"",COUNTIF('沟通记录'!$A$8:$A$207,O50)&lt;&gt;1)),"检查编号或关联","正常"))</f>
        <v/>
      </c>
    </row>
    <row r="51" ht="34" customHeight="1">
      <c r="A51" s="32" t="n"/>
      <c r="B51" s="32" t="n"/>
      <c r="C51" s="10" t="n"/>
      <c r="D51" s="10" t="n"/>
      <c r="E51" s="10" t="n"/>
      <c r="F51" s="33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32" t="n"/>
      <c r="P51" s="32" t="n"/>
      <c r="Q51" s="16">
        <f>IF(A51="","",IF(OR(COUNTIF($A$8:$A$207,A51)&lt;&gt;1,AND(B51&lt;&gt;"",COUNTIF('用胶项目'!$A$8:$A$207,B51)&lt;&gt;1),AND(O51&lt;&gt;"",COUNTIF('沟通记录'!$A$8:$A$207,O51)&lt;&gt;1)),"检查编号或关联","正常"))</f>
        <v/>
      </c>
    </row>
    <row r="52" ht="34" customHeight="1">
      <c r="A52" s="32" t="n"/>
      <c r="B52" s="32" t="n"/>
      <c r="C52" s="10" t="n"/>
      <c r="D52" s="10" t="n"/>
      <c r="E52" s="10" t="n"/>
      <c r="F52" s="33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32" t="n"/>
      <c r="P52" s="32" t="n"/>
      <c r="Q52" s="16">
        <f>IF(A52="","",IF(OR(COUNTIF($A$8:$A$207,A52)&lt;&gt;1,AND(B52&lt;&gt;"",COUNTIF('用胶项目'!$A$8:$A$207,B52)&lt;&gt;1),AND(O52&lt;&gt;"",COUNTIF('沟通记录'!$A$8:$A$207,O52)&lt;&gt;1)),"检查编号或关联","正常"))</f>
        <v/>
      </c>
    </row>
    <row r="53" ht="34" customHeight="1">
      <c r="A53" s="32" t="n"/>
      <c r="B53" s="32" t="n"/>
      <c r="C53" s="10" t="n"/>
      <c r="D53" s="10" t="n"/>
      <c r="E53" s="10" t="n"/>
      <c r="F53" s="33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32" t="n"/>
      <c r="P53" s="32" t="n"/>
      <c r="Q53" s="16">
        <f>IF(A53="","",IF(OR(COUNTIF($A$8:$A$207,A53)&lt;&gt;1,AND(B53&lt;&gt;"",COUNTIF('用胶项目'!$A$8:$A$207,B53)&lt;&gt;1),AND(O53&lt;&gt;"",COUNTIF('沟通记录'!$A$8:$A$207,O53)&lt;&gt;1)),"检查编号或关联","正常"))</f>
        <v/>
      </c>
    </row>
    <row r="54" ht="34" customHeight="1">
      <c r="A54" s="32" t="n"/>
      <c r="B54" s="32" t="n"/>
      <c r="C54" s="10" t="n"/>
      <c r="D54" s="10" t="n"/>
      <c r="E54" s="10" t="n"/>
      <c r="F54" s="33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32" t="n"/>
      <c r="P54" s="32" t="n"/>
      <c r="Q54" s="16">
        <f>IF(A54="","",IF(OR(COUNTIF($A$8:$A$207,A54)&lt;&gt;1,AND(B54&lt;&gt;"",COUNTIF('用胶项目'!$A$8:$A$207,B54)&lt;&gt;1),AND(O54&lt;&gt;"",COUNTIF('沟通记录'!$A$8:$A$207,O54)&lt;&gt;1)),"检查编号或关联","正常"))</f>
        <v/>
      </c>
    </row>
    <row r="55" ht="34" customHeight="1">
      <c r="A55" s="32" t="n"/>
      <c r="B55" s="32" t="n"/>
      <c r="C55" s="10" t="n"/>
      <c r="D55" s="10" t="n"/>
      <c r="E55" s="10" t="n"/>
      <c r="F55" s="33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32" t="n"/>
      <c r="P55" s="32" t="n"/>
      <c r="Q55" s="16">
        <f>IF(A55="","",IF(OR(COUNTIF($A$8:$A$207,A55)&lt;&gt;1,AND(B55&lt;&gt;"",COUNTIF('用胶项目'!$A$8:$A$207,B55)&lt;&gt;1),AND(O55&lt;&gt;"",COUNTIF('沟通记录'!$A$8:$A$207,O55)&lt;&gt;1)),"检查编号或关联","正常"))</f>
        <v/>
      </c>
    </row>
    <row r="56" ht="34" customHeight="1">
      <c r="A56" s="32" t="n"/>
      <c r="B56" s="32" t="n"/>
      <c r="C56" s="10" t="n"/>
      <c r="D56" s="10" t="n"/>
      <c r="E56" s="10" t="n"/>
      <c r="F56" s="33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32" t="n"/>
      <c r="P56" s="32" t="n"/>
      <c r="Q56" s="16">
        <f>IF(A56="","",IF(OR(COUNTIF($A$8:$A$207,A56)&lt;&gt;1,AND(B56&lt;&gt;"",COUNTIF('用胶项目'!$A$8:$A$207,B56)&lt;&gt;1),AND(O56&lt;&gt;"",COUNTIF('沟通记录'!$A$8:$A$207,O56)&lt;&gt;1)),"检查编号或关联","正常"))</f>
        <v/>
      </c>
    </row>
    <row r="57" ht="34" customHeight="1">
      <c r="A57" s="32" t="n"/>
      <c r="B57" s="32" t="n"/>
      <c r="C57" s="10" t="n"/>
      <c r="D57" s="10" t="n"/>
      <c r="E57" s="10" t="n"/>
      <c r="F57" s="33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32" t="n"/>
      <c r="P57" s="32" t="n"/>
      <c r="Q57" s="16">
        <f>IF(A57="","",IF(OR(COUNTIF($A$8:$A$207,A57)&lt;&gt;1,AND(B57&lt;&gt;"",COUNTIF('用胶项目'!$A$8:$A$207,B57)&lt;&gt;1),AND(O57&lt;&gt;"",COUNTIF('沟通记录'!$A$8:$A$207,O57)&lt;&gt;1)),"检查编号或关联","正常"))</f>
        <v/>
      </c>
    </row>
    <row r="58" ht="34" customHeight="1">
      <c r="A58" s="32" t="n"/>
      <c r="B58" s="32" t="n"/>
      <c r="C58" s="10" t="n"/>
      <c r="D58" s="10" t="n"/>
      <c r="E58" s="10" t="n"/>
      <c r="F58" s="33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32" t="n"/>
      <c r="P58" s="32" t="n"/>
      <c r="Q58" s="16">
        <f>IF(A58="","",IF(OR(COUNTIF($A$8:$A$207,A58)&lt;&gt;1,AND(B58&lt;&gt;"",COUNTIF('用胶项目'!$A$8:$A$207,B58)&lt;&gt;1),AND(O58&lt;&gt;"",COUNTIF('沟通记录'!$A$8:$A$207,O58)&lt;&gt;1)),"检查编号或关联","正常"))</f>
        <v/>
      </c>
    </row>
    <row r="59" ht="34" customHeight="1">
      <c r="A59" s="32" t="n"/>
      <c r="B59" s="32" t="n"/>
      <c r="C59" s="10" t="n"/>
      <c r="D59" s="10" t="n"/>
      <c r="E59" s="10" t="n"/>
      <c r="F59" s="33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32" t="n"/>
      <c r="P59" s="32" t="n"/>
      <c r="Q59" s="16">
        <f>IF(A59="","",IF(OR(COUNTIF($A$8:$A$207,A59)&lt;&gt;1,AND(B59&lt;&gt;"",COUNTIF('用胶项目'!$A$8:$A$207,B59)&lt;&gt;1),AND(O59&lt;&gt;"",COUNTIF('沟通记录'!$A$8:$A$207,O59)&lt;&gt;1)),"检查编号或关联","正常"))</f>
        <v/>
      </c>
    </row>
    <row r="60" ht="34" customHeight="1">
      <c r="A60" s="32" t="n"/>
      <c r="B60" s="32" t="n"/>
      <c r="C60" s="10" t="n"/>
      <c r="D60" s="10" t="n"/>
      <c r="E60" s="10" t="n"/>
      <c r="F60" s="33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32" t="n"/>
      <c r="P60" s="32" t="n"/>
      <c r="Q60" s="16">
        <f>IF(A60="","",IF(OR(COUNTIF($A$8:$A$207,A60)&lt;&gt;1,AND(B60&lt;&gt;"",COUNTIF('用胶项目'!$A$8:$A$207,B60)&lt;&gt;1),AND(O60&lt;&gt;"",COUNTIF('沟通记录'!$A$8:$A$207,O60)&lt;&gt;1)),"检查编号或关联","正常"))</f>
        <v/>
      </c>
    </row>
    <row r="61" ht="34" customHeight="1">
      <c r="A61" s="32" t="n"/>
      <c r="B61" s="32" t="n"/>
      <c r="C61" s="10" t="n"/>
      <c r="D61" s="10" t="n"/>
      <c r="E61" s="10" t="n"/>
      <c r="F61" s="33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32" t="n"/>
      <c r="P61" s="32" t="n"/>
      <c r="Q61" s="16">
        <f>IF(A61="","",IF(OR(COUNTIF($A$8:$A$207,A61)&lt;&gt;1,AND(B61&lt;&gt;"",COUNTIF('用胶项目'!$A$8:$A$207,B61)&lt;&gt;1),AND(O61&lt;&gt;"",COUNTIF('沟通记录'!$A$8:$A$207,O61)&lt;&gt;1)),"检查编号或关联","正常"))</f>
        <v/>
      </c>
    </row>
    <row r="62" ht="34" customHeight="1">
      <c r="A62" s="32" t="n"/>
      <c r="B62" s="32" t="n"/>
      <c r="C62" s="10" t="n"/>
      <c r="D62" s="10" t="n"/>
      <c r="E62" s="10" t="n"/>
      <c r="F62" s="33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32" t="n"/>
      <c r="P62" s="32" t="n"/>
      <c r="Q62" s="16">
        <f>IF(A62="","",IF(OR(COUNTIF($A$8:$A$207,A62)&lt;&gt;1,AND(B62&lt;&gt;"",COUNTIF('用胶项目'!$A$8:$A$207,B62)&lt;&gt;1),AND(O62&lt;&gt;"",COUNTIF('沟通记录'!$A$8:$A$207,O62)&lt;&gt;1)),"检查编号或关联","正常"))</f>
        <v/>
      </c>
    </row>
    <row r="63" ht="34" customHeight="1">
      <c r="A63" s="32" t="n"/>
      <c r="B63" s="32" t="n"/>
      <c r="C63" s="10" t="n"/>
      <c r="D63" s="10" t="n"/>
      <c r="E63" s="10" t="n"/>
      <c r="F63" s="33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32" t="n"/>
      <c r="P63" s="32" t="n"/>
      <c r="Q63" s="16">
        <f>IF(A63="","",IF(OR(COUNTIF($A$8:$A$207,A63)&lt;&gt;1,AND(B63&lt;&gt;"",COUNTIF('用胶项目'!$A$8:$A$207,B63)&lt;&gt;1),AND(O63&lt;&gt;"",COUNTIF('沟通记录'!$A$8:$A$207,O63)&lt;&gt;1)),"检查编号或关联","正常"))</f>
        <v/>
      </c>
    </row>
    <row r="64" ht="34" customHeight="1">
      <c r="A64" s="32" t="n"/>
      <c r="B64" s="32" t="n"/>
      <c r="C64" s="10" t="n"/>
      <c r="D64" s="10" t="n"/>
      <c r="E64" s="10" t="n"/>
      <c r="F64" s="33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32" t="n"/>
      <c r="P64" s="32" t="n"/>
      <c r="Q64" s="16">
        <f>IF(A64="","",IF(OR(COUNTIF($A$8:$A$207,A64)&lt;&gt;1,AND(B64&lt;&gt;"",COUNTIF('用胶项目'!$A$8:$A$207,B64)&lt;&gt;1),AND(O64&lt;&gt;"",COUNTIF('沟通记录'!$A$8:$A$207,O64)&lt;&gt;1)),"检查编号或关联","正常"))</f>
        <v/>
      </c>
    </row>
    <row r="65" ht="34" customHeight="1">
      <c r="A65" s="32" t="n"/>
      <c r="B65" s="32" t="n"/>
      <c r="C65" s="10" t="n"/>
      <c r="D65" s="10" t="n"/>
      <c r="E65" s="10" t="n"/>
      <c r="F65" s="33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32" t="n"/>
      <c r="P65" s="32" t="n"/>
      <c r="Q65" s="16">
        <f>IF(A65="","",IF(OR(COUNTIF($A$8:$A$207,A65)&lt;&gt;1,AND(B65&lt;&gt;"",COUNTIF('用胶项目'!$A$8:$A$207,B65)&lt;&gt;1),AND(O65&lt;&gt;"",COUNTIF('沟通记录'!$A$8:$A$207,O65)&lt;&gt;1)),"检查编号或关联","正常"))</f>
        <v/>
      </c>
    </row>
    <row r="66" ht="34" customHeight="1">
      <c r="A66" s="32" t="n"/>
      <c r="B66" s="32" t="n"/>
      <c r="C66" s="10" t="n"/>
      <c r="D66" s="10" t="n"/>
      <c r="E66" s="10" t="n"/>
      <c r="F66" s="33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32" t="n"/>
      <c r="P66" s="32" t="n"/>
      <c r="Q66" s="16">
        <f>IF(A66="","",IF(OR(COUNTIF($A$8:$A$207,A66)&lt;&gt;1,AND(B66&lt;&gt;"",COUNTIF('用胶项目'!$A$8:$A$207,B66)&lt;&gt;1),AND(O66&lt;&gt;"",COUNTIF('沟通记录'!$A$8:$A$207,O66)&lt;&gt;1)),"检查编号或关联","正常"))</f>
        <v/>
      </c>
    </row>
    <row r="67" ht="34" customHeight="1">
      <c r="A67" s="32" t="n"/>
      <c r="B67" s="32" t="n"/>
      <c r="C67" s="10" t="n"/>
      <c r="D67" s="10" t="n"/>
      <c r="E67" s="10" t="n"/>
      <c r="F67" s="33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32" t="n"/>
      <c r="P67" s="32" t="n"/>
      <c r="Q67" s="16">
        <f>IF(A67="","",IF(OR(COUNTIF($A$8:$A$207,A67)&lt;&gt;1,AND(B67&lt;&gt;"",COUNTIF('用胶项目'!$A$8:$A$207,B67)&lt;&gt;1),AND(O67&lt;&gt;"",COUNTIF('沟通记录'!$A$8:$A$207,O67)&lt;&gt;1)),"检查编号或关联","正常"))</f>
        <v/>
      </c>
    </row>
    <row r="68" ht="34" customHeight="1">
      <c r="A68" s="32" t="n"/>
      <c r="B68" s="32" t="n"/>
      <c r="C68" s="10" t="n"/>
      <c r="D68" s="10" t="n"/>
      <c r="E68" s="10" t="n"/>
      <c r="F68" s="33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32" t="n"/>
      <c r="P68" s="32" t="n"/>
      <c r="Q68" s="16">
        <f>IF(A68="","",IF(OR(COUNTIF($A$8:$A$207,A68)&lt;&gt;1,AND(B68&lt;&gt;"",COUNTIF('用胶项目'!$A$8:$A$207,B68)&lt;&gt;1),AND(O68&lt;&gt;"",COUNTIF('沟通记录'!$A$8:$A$207,O68)&lt;&gt;1)),"检查编号或关联","正常"))</f>
        <v/>
      </c>
    </row>
    <row r="69" ht="34" customHeight="1">
      <c r="A69" s="32" t="n"/>
      <c r="B69" s="32" t="n"/>
      <c r="C69" s="10" t="n"/>
      <c r="D69" s="10" t="n"/>
      <c r="E69" s="10" t="n"/>
      <c r="F69" s="33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32" t="n"/>
      <c r="P69" s="32" t="n"/>
      <c r="Q69" s="16">
        <f>IF(A69="","",IF(OR(COUNTIF($A$8:$A$207,A69)&lt;&gt;1,AND(B69&lt;&gt;"",COUNTIF('用胶项目'!$A$8:$A$207,B69)&lt;&gt;1),AND(O69&lt;&gt;"",COUNTIF('沟通记录'!$A$8:$A$207,O69)&lt;&gt;1)),"检查编号或关联","正常"))</f>
        <v/>
      </c>
    </row>
    <row r="70" ht="34" customHeight="1">
      <c r="A70" s="32" t="n"/>
      <c r="B70" s="32" t="n"/>
      <c r="C70" s="10" t="n"/>
      <c r="D70" s="10" t="n"/>
      <c r="E70" s="10" t="n"/>
      <c r="F70" s="33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32" t="n"/>
      <c r="P70" s="32" t="n"/>
      <c r="Q70" s="16">
        <f>IF(A70="","",IF(OR(COUNTIF($A$8:$A$207,A70)&lt;&gt;1,AND(B70&lt;&gt;"",COUNTIF('用胶项目'!$A$8:$A$207,B70)&lt;&gt;1),AND(O70&lt;&gt;"",COUNTIF('沟通记录'!$A$8:$A$207,O70)&lt;&gt;1)),"检查编号或关联","正常"))</f>
        <v/>
      </c>
    </row>
    <row r="71" ht="34" customHeight="1">
      <c r="A71" s="32" t="n"/>
      <c r="B71" s="32" t="n"/>
      <c r="C71" s="10" t="n"/>
      <c r="D71" s="10" t="n"/>
      <c r="E71" s="10" t="n"/>
      <c r="F71" s="33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32" t="n"/>
      <c r="P71" s="32" t="n"/>
      <c r="Q71" s="16">
        <f>IF(A71="","",IF(OR(COUNTIF($A$8:$A$207,A71)&lt;&gt;1,AND(B71&lt;&gt;"",COUNTIF('用胶项目'!$A$8:$A$207,B71)&lt;&gt;1),AND(O71&lt;&gt;"",COUNTIF('沟通记录'!$A$8:$A$207,O71)&lt;&gt;1)),"检查编号或关联","正常"))</f>
        <v/>
      </c>
    </row>
    <row r="72" ht="34" customHeight="1">
      <c r="A72" s="32" t="n"/>
      <c r="B72" s="32" t="n"/>
      <c r="C72" s="10" t="n"/>
      <c r="D72" s="10" t="n"/>
      <c r="E72" s="10" t="n"/>
      <c r="F72" s="33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32" t="n"/>
      <c r="P72" s="32" t="n"/>
      <c r="Q72" s="16">
        <f>IF(A72="","",IF(OR(COUNTIF($A$8:$A$207,A72)&lt;&gt;1,AND(B72&lt;&gt;"",COUNTIF('用胶项目'!$A$8:$A$207,B72)&lt;&gt;1),AND(O72&lt;&gt;"",COUNTIF('沟通记录'!$A$8:$A$207,O72)&lt;&gt;1)),"检查编号或关联","正常"))</f>
        <v/>
      </c>
    </row>
    <row r="73" ht="34" customHeight="1">
      <c r="A73" s="32" t="n"/>
      <c r="B73" s="32" t="n"/>
      <c r="C73" s="10" t="n"/>
      <c r="D73" s="10" t="n"/>
      <c r="E73" s="10" t="n"/>
      <c r="F73" s="33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32" t="n"/>
      <c r="P73" s="32" t="n"/>
      <c r="Q73" s="16">
        <f>IF(A73="","",IF(OR(COUNTIF($A$8:$A$207,A73)&lt;&gt;1,AND(B73&lt;&gt;"",COUNTIF('用胶项目'!$A$8:$A$207,B73)&lt;&gt;1),AND(O73&lt;&gt;"",COUNTIF('沟通记录'!$A$8:$A$207,O73)&lt;&gt;1)),"检查编号或关联","正常"))</f>
        <v/>
      </c>
    </row>
    <row r="74" ht="34" customHeight="1">
      <c r="A74" s="32" t="n"/>
      <c r="B74" s="32" t="n"/>
      <c r="C74" s="10" t="n"/>
      <c r="D74" s="10" t="n"/>
      <c r="E74" s="10" t="n"/>
      <c r="F74" s="33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32" t="n"/>
      <c r="P74" s="32" t="n"/>
      <c r="Q74" s="16">
        <f>IF(A74="","",IF(OR(COUNTIF($A$8:$A$207,A74)&lt;&gt;1,AND(B74&lt;&gt;"",COUNTIF('用胶项目'!$A$8:$A$207,B74)&lt;&gt;1),AND(O74&lt;&gt;"",COUNTIF('沟通记录'!$A$8:$A$207,O74)&lt;&gt;1)),"检查编号或关联","正常"))</f>
        <v/>
      </c>
    </row>
    <row r="75" ht="34" customHeight="1">
      <c r="A75" s="32" t="n"/>
      <c r="B75" s="32" t="n"/>
      <c r="C75" s="10" t="n"/>
      <c r="D75" s="10" t="n"/>
      <c r="E75" s="10" t="n"/>
      <c r="F75" s="33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32" t="n"/>
      <c r="P75" s="32" t="n"/>
      <c r="Q75" s="16">
        <f>IF(A75="","",IF(OR(COUNTIF($A$8:$A$207,A75)&lt;&gt;1,AND(B75&lt;&gt;"",COUNTIF('用胶项目'!$A$8:$A$207,B75)&lt;&gt;1),AND(O75&lt;&gt;"",COUNTIF('沟通记录'!$A$8:$A$207,O75)&lt;&gt;1)),"检查编号或关联","正常"))</f>
        <v/>
      </c>
    </row>
    <row r="76" ht="34" customHeight="1">
      <c r="A76" s="32" t="n"/>
      <c r="B76" s="32" t="n"/>
      <c r="C76" s="10" t="n"/>
      <c r="D76" s="10" t="n"/>
      <c r="E76" s="10" t="n"/>
      <c r="F76" s="33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32" t="n"/>
      <c r="P76" s="32" t="n"/>
      <c r="Q76" s="16">
        <f>IF(A76="","",IF(OR(COUNTIF($A$8:$A$207,A76)&lt;&gt;1,AND(B76&lt;&gt;"",COUNTIF('用胶项目'!$A$8:$A$207,B76)&lt;&gt;1),AND(O76&lt;&gt;"",COUNTIF('沟通记录'!$A$8:$A$207,O76)&lt;&gt;1)),"检查编号或关联","正常"))</f>
        <v/>
      </c>
    </row>
    <row r="77" ht="34" customHeight="1">
      <c r="A77" s="32" t="n"/>
      <c r="B77" s="32" t="n"/>
      <c r="C77" s="10" t="n"/>
      <c r="D77" s="10" t="n"/>
      <c r="E77" s="10" t="n"/>
      <c r="F77" s="33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32" t="n"/>
      <c r="P77" s="32" t="n"/>
      <c r="Q77" s="16">
        <f>IF(A77="","",IF(OR(COUNTIF($A$8:$A$207,A77)&lt;&gt;1,AND(B77&lt;&gt;"",COUNTIF('用胶项目'!$A$8:$A$207,B77)&lt;&gt;1),AND(O77&lt;&gt;"",COUNTIF('沟通记录'!$A$8:$A$207,O77)&lt;&gt;1)),"检查编号或关联","正常"))</f>
        <v/>
      </c>
    </row>
    <row r="78" ht="34" customHeight="1">
      <c r="A78" s="32" t="n"/>
      <c r="B78" s="32" t="n"/>
      <c r="C78" s="10" t="n"/>
      <c r="D78" s="10" t="n"/>
      <c r="E78" s="10" t="n"/>
      <c r="F78" s="33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32" t="n"/>
      <c r="P78" s="32" t="n"/>
      <c r="Q78" s="16">
        <f>IF(A78="","",IF(OR(COUNTIF($A$8:$A$207,A78)&lt;&gt;1,AND(B78&lt;&gt;"",COUNTIF('用胶项目'!$A$8:$A$207,B78)&lt;&gt;1),AND(O78&lt;&gt;"",COUNTIF('沟通记录'!$A$8:$A$207,O78)&lt;&gt;1)),"检查编号或关联","正常"))</f>
        <v/>
      </c>
    </row>
    <row r="79" ht="34" customHeight="1">
      <c r="A79" s="32" t="n"/>
      <c r="B79" s="32" t="n"/>
      <c r="C79" s="10" t="n"/>
      <c r="D79" s="10" t="n"/>
      <c r="E79" s="10" t="n"/>
      <c r="F79" s="33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32" t="n"/>
      <c r="P79" s="32" t="n"/>
      <c r="Q79" s="16">
        <f>IF(A79="","",IF(OR(COUNTIF($A$8:$A$207,A79)&lt;&gt;1,AND(B79&lt;&gt;"",COUNTIF('用胶项目'!$A$8:$A$207,B79)&lt;&gt;1),AND(O79&lt;&gt;"",COUNTIF('沟通记录'!$A$8:$A$207,O79)&lt;&gt;1)),"检查编号或关联","正常"))</f>
        <v/>
      </c>
    </row>
    <row r="80" ht="34" customHeight="1">
      <c r="A80" s="32" t="n"/>
      <c r="B80" s="32" t="n"/>
      <c r="C80" s="10" t="n"/>
      <c r="D80" s="10" t="n"/>
      <c r="E80" s="10" t="n"/>
      <c r="F80" s="33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32" t="n"/>
      <c r="P80" s="32" t="n"/>
      <c r="Q80" s="16">
        <f>IF(A80="","",IF(OR(COUNTIF($A$8:$A$207,A80)&lt;&gt;1,AND(B80&lt;&gt;"",COUNTIF('用胶项目'!$A$8:$A$207,B80)&lt;&gt;1),AND(O80&lt;&gt;"",COUNTIF('沟通记录'!$A$8:$A$207,O80)&lt;&gt;1)),"检查编号或关联","正常"))</f>
        <v/>
      </c>
    </row>
    <row r="81" ht="34" customHeight="1">
      <c r="A81" s="32" t="n"/>
      <c r="B81" s="32" t="n"/>
      <c r="C81" s="10" t="n"/>
      <c r="D81" s="10" t="n"/>
      <c r="E81" s="10" t="n"/>
      <c r="F81" s="33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32" t="n"/>
      <c r="P81" s="32" t="n"/>
      <c r="Q81" s="16">
        <f>IF(A81="","",IF(OR(COUNTIF($A$8:$A$207,A81)&lt;&gt;1,AND(B81&lt;&gt;"",COUNTIF('用胶项目'!$A$8:$A$207,B81)&lt;&gt;1),AND(O81&lt;&gt;"",COUNTIF('沟通记录'!$A$8:$A$207,O81)&lt;&gt;1)),"检查编号或关联","正常"))</f>
        <v/>
      </c>
    </row>
    <row r="82" ht="34" customHeight="1">
      <c r="A82" s="32" t="n"/>
      <c r="B82" s="32" t="n"/>
      <c r="C82" s="10" t="n"/>
      <c r="D82" s="10" t="n"/>
      <c r="E82" s="10" t="n"/>
      <c r="F82" s="33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32" t="n"/>
      <c r="P82" s="32" t="n"/>
      <c r="Q82" s="16">
        <f>IF(A82="","",IF(OR(COUNTIF($A$8:$A$207,A82)&lt;&gt;1,AND(B82&lt;&gt;"",COUNTIF('用胶项目'!$A$8:$A$207,B82)&lt;&gt;1),AND(O82&lt;&gt;"",COUNTIF('沟通记录'!$A$8:$A$207,O82)&lt;&gt;1)),"检查编号或关联","正常"))</f>
        <v/>
      </c>
    </row>
    <row r="83" ht="34" customHeight="1">
      <c r="A83" s="32" t="n"/>
      <c r="B83" s="32" t="n"/>
      <c r="C83" s="10" t="n"/>
      <c r="D83" s="10" t="n"/>
      <c r="E83" s="10" t="n"/>
      <c r="F83" s="33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32" t="n"/>
      <c r="P83" s="32" t="n"/>
      <c r="Q83" s="16">
        <f>IF(A83="","",IF(OR(COUNTIF($A$8:$A$207,A83)&lt;&gt;1,AND(B83&lt;&gt;"",COUNTIF('用胶项目'!$A$8:$A$207,B83)&lt;&gt;1),AND(O83&lt;&gt;"",COUNTIF('沟通记录'!$A$8:$A$207,O83)&lt;&gt;1)),"检查编号或关联","正常"))</f>
        <v/>
      </c>
    </row>
    <row r="84" ht="34" customHeight="1">
      <c r="A84" s="32" t="n"/>
      <c r="B84" s="32" t="n"/>
      <c r="C84" s="10" t="n"/>
      <c r="D84" s="10" t="n"/>
      <c r="E84" s="10" t="n"/>
      <c r="F84" s="33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32" t="n"/>
      <c r="P84" s="32" t="n"/>
      <c r="Q84" s="16">
        <f>IF(A84="","",IF(OR(COUNTIF($A$8:$A$207,A84)&lt;&gt;1,AND(B84&lt;&gt;"",COUNTIF('用胶项目'!$A$8:$A$207,B84)&lt;&gt;1),AND(O84&lt;&gt;"",COUNTIF('沟通记录'!$A$8:$A$207,O84)&lt;&gt;1)),"检查编号或关联","正常"))</f>
        <v/>
      </c>
    </row>
    <row r="85" ht="34" customHeight="1">
      <c r="A85" s="32" t="n"/>
      <c r="B85" s="32" t="n"/>
      <c r="C85" s="10" t="n"/>
      <c r="D85" s="10" t="n"/>
      <c r="E85" s="10" t="n"/>
      <c r="F85" s="33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32" t="n"/>
      <c r="P85" s="32" t="n"/>
      <c r="Q85" s="16">
        <f>IF(A85="","",IF(OR(COUNTIF($A$8:$A$207,A85)&lt;&gt;1,AND(B85&lt;&gt;"",COUNTIF('用胶项目'!$A$8:$A$207,B85)&lt;&gt;1),AND(O85&lt;&gt;"",COUNTIF('沟通记录'!$A$8:$A$207,O85)&lt;&gt;1)),"检查编号或关联","正常"))</f>
        <v/>
      </c>
    </row>
    <row r="86" ht="34" customHeight="1">
      <c r="A86" s="32" t="n"/>
      <c r="B86" s="32" t="n"/>
      <c r="C86" s="10" t="n"/>
      <c r="D86" s="10" t="n"/>
      <c r="E86" s="10" t="n"/>
      <c r="F86" s="33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32" t="n"/>
      <c r="P86" s="32" t="n"/>
      <c r="Q86" s="16">
        <f>IF(A86="","",IF(OR(COUNTIF($A$8:$A$207,A86)&lt;&gt;1,AND(B86&lt;&gt;"",COUNTIF('用胶项目'!$A$8:$A$207,B86)&lt;&gt;1),AND(O86&lt;&gt;"",COUNTIF('沟通记录'!$A$8:$A$207,O86)&lt;&gt;1)),"检查编号或关联","正常"))</f>
        <v/>
      </c>
    </row>
    <row r="87" ht="34" customHeight="1">
      <c r="A87" s="32" t="n"/>
      <c r="B87" s="32" t="n"/>
      <c r="C87" s="10" t="n"/>
      <c r="D87" s="10" t="n"/>
      <c r="E87" s="10" t="n"/>
      <c r="F87" s="33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32" t="n"/>
      <c r="P87" s="32" t="n"/>
      <c r="Q87" s="16">
        <f>IF(A87="","",IF(OR(COUNTIF($A$8:$A$207,A87)&lt;&gt;1,AND(B87&lt;&gt;"",COUNTIF('用胶项目'!$A$8:$A$207,B87)&lt;&gt;1),AND(O87&lt;&gt;"",COUNTIF('沟通记录'!$A$8:$A$207,O87)&lt;&gt;1)),"检查编号或关联","正常"))</f>
        <v/>
      </c>
    </row>
    <row r="88" ht="34" customHeight="1">
      <c r="A88" s="32" t="n"/>
      <c r="B88" s="32" t="n"/>
      <c r="C88" s="10" t="n"/>
      <c r="D88" s="10" t="n"/>
      <c r="E88" s="10" t="n"/>
      <c r="F88" s="33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32" t="n"/>
      <c r="P88" s="32" t="n"/>
      <c r="Q88" s="16">
        <f>IF(A88="","",IF(OR(COUNTIF($A$8:$A$207,A88)&lt;&gt;1,AND(B88&lt;&gt;"",COUNTIF('用胶项目'!$A$8:$A$207,B88)&lt;&gt;1),AND(O88&lt;&gt;"",COUNTIF('沟通记录'!$A$8:$A$207,O88)&lt;&gt;1)),"检查编号或关联","正常"))</f>
        <v/>
      </c>
    </row>
    <row r="89" ht="34" customHeight="1">
      <c r="A89" s="32" t="n"/>
      <c r="B89" s="32" t="n"/>
      <c r="C89" s="10" t="n"/>
      <c r="D89" s="10" t="n"/>
      <c r="E89" s="10" t="n"/>
      <c r="F89" s="33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32" t="n"/>
      <c r="P89" s="32" t="n"/>
      <c r="Q89" s="16">
        <f>IF(A89="","",IF(OR(COUNTIF($A$8:$A$207,A89)&lt;&gt;1,AND(B89&lt;&gt;"",COUNTIF('用胶项目'!$A$8:$A$207,B89)&lt;&gt;1),AND(O89&lt;&gt;"",COUNTIF('沟通记录'!$A$8:$A$207,O89)&lt;&gt;1)),"检查编号或关联","正常"))</f>
        <v/>
      </c>
    </row>
    <row r="90" ht="34" customHeight="1">
      <c r="A90" s="32" t="n"/>
      <c r="B90" s="32" t="n"/>
      <c r="C90" s="10" t="n"/>
      <c r="D90" s="10" t="n"/>
      <c r="E90" s="10" t="n"/>
      <c r="F90" s="33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32" t="n"/>
      <c r="P90" s="32" t="n"/>
      <c r="Q90" s="16">
        <f>IF(A90="","",IF(OR(COUNTIF($A$8:$A$207,A90)&lt;&gt;1,AND(B90&lt;&gt;"",COUNTIF('用胶项目'!$A$8:$A$207,B90)&lt;&gt;1),AND(O90&lt;&gt;"",COUNTIF('沟通记录'!$A$8:$A$207,O90)&lt;&gt;1)),"检查编号或关联","正常"))</f>
        <v/>
      </c>
    </row>
    <row r="91" ht="34" customHeight="1">
      <c r="A91" s="32" t="n"/>
      <c r="B91" s="32" t="n"/>
      <c r="C91" s="10" t="n"/>
      <c r="D91" s="10" t="n"/>
      <c r="E91" s="10" t="n"/>
      <c r="F91" s="33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32" t="n"/>
      <c r="P91" s="32" t="n"/>
      <c r="Q91" s="16">
        <f>IF(A91="","",IF(OR(COUNTIF($A$8:$A$207,A91)&lt;&gt;1,AND(B91&lt;&gt;"",COUNTIF('用胶项目'!$A$8:$A$207,B91)&lt;&gt;1),AND(O91&lt;&gt;"",COUNTIF('沟通记录'!$A$8:$A$207,O91)&lt;&gt;1)),"检查编号或关联","正常"))</f>
        <v/>
      </c>
    </row>
    <row r="92" ht="34" customHeight="1">
      <c r="A92" s="32" t="n"/>
      <c r="B92" s="32" t="n"/>
      <c r="C92" s="10" t="n"/>
      <c r="D92" s="10" t="n"/>
      <c r="E92" s="10" t="n"/>
      <c r="F92" s="33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32" t="n"/>
      <c r="P92" s="32" t="n"/>
      <c r="Q92" s="16">
        <f>IF(A92="","",IF(OR(COUNTIF($A$8:$A$207,A92)&lt;&gt;1,AND(B92&lt;&gt;"",COUNTIF('用胶项目'!$A$8:$A$207,B92)&lt;&gt;1),AND(O92&lt;&gt;"",COUNTIF('沟通记录'!$A$8:$A$207,O92)&lt;&gt;1)),"检查编号或关联","正常"))</f>
        <v/>
      </c>
    </row>
    <row r="93" ht="34" customHeight="1">
      <c r="A93" s="32" t="n"/>
      <c r="B93" s="32" t="n"/>
      <c r="C93" s="10" t="n"/>
      <c r="D93" s="10" t="n"/>
      <c r="E93" s="10" t="n"/>
      <c r="F93" s="33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32" t="n"/>
      <c r="P93" s="32" t="n"/>
      <c r="Q93" s="16">
        <f>IF(A93="","",IF(OR(COUNTIF($A$8:$A$207,A93)&lt;&gt;1,AND(B93&lt;&gt;"",COUNTIF('用胶项目'!$A$8:$A$207,B93)&lt;&gt;1),AND(O93&lt;&gt;"",COUNTIF('沟通记录'!$A$8:$A$207,O93)&lt;&gt;1)),"检查编号或关联","正常"))</f>
        <v/>
      </c>
    </row>
    <row r="94" ht="34" customHeight="1">
      <c r="A94" s="32" t="n"/>
      <c r="B94" s="32" t="n"/>
      <c r="C94" s="10" t="n"/>
      <c r="D94" s="10" t="n"/>
      <c r="E94" s="10" t="n"/>
      <c r="F94" s="33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32" t="n"/>
      <c r="P94" s="32" t="n"/>
      <c r="Q94" s="16">
        <f>IF(A94="","",IF(OR(COUNTIF($A$8:$A$207,A94)&lt;&gt;1,AND(B94&lt;&gt;"",COUNTIF('用胶项目'!$A$8:$A$207,B94)&lt;&gt;1),AND(O94&lt;&gt;"",COUNTIF('沟通记录'!$A$8:$A$207,O94)&lt;&gt;1)),"检查编号或关联","正常"))</f>
        <v/>
      </c>
    </row>
    <row r="95" ht="34" customHeight="1">
      <c r="A95" s="32" t="n"/>
      <c r="B95" s="32" t="n"/>
      <c r="C95" s="10" t="n"/>
      <c r="D95" s="10" t="n"/>
      <c r="E95" s="10" t="n"/>
      <c r="F95" s="33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32" t="n"/>
      <c r="P95" s="32" t="n"/>
      <c r="Q95" s="16">
        <f>IF(A95="","",IF(OR(COUNTIF($A$8:$A$207,A95)&lt;&gt;1,AND(B95&lt;&gt;"",COUNTIF('用胶项目'!$A$8:$A$207,B95)&lt;&gt;1),AND(O95&lt;&gt;"",COUNTIF('沟通记录'!$A$8:$A$207,O95)&lt;&gt;1)),"检查编号或关联","正常"))</f>
        <v/>
      </c>
    </row>
    <row r="96" ht="34" customHeight="1">
      <c r="A96" s="32" t="n"/>
      <c r="B96" s="32" t="n"/>
      <c r="C96" s="10" t="n"/>
      <c r="D96" s="10" t="n"/>
      <c r="E96" s="10" t="n"/>
      <c r="F96" s="33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32" t="n"/>
      <c r="P96" s="32" t="n"/>
      <c r="Q96" s="16">
        <f>IF(A96="","",IF(OR(COUNTIF($A$8:$A$207,A96)&lt;&gt;1,AND(B96&lt;&gt;"",COUNTIF('用胶项目'!$A$8:$A$207,B96)&lt;&gt;1),AND(O96&lt;&gt;"",COUNTIF('沟通记录'!$A$8:$A$207,O96)&lt;&gt;1)),"检查编号或关联","正常"))</f>
        <v/>
      </c>
    </row>
    <row r="97" ht="34" customHeight="1">
      <c r="A97" s="32" t="n"/>
      <c r="B97" s="32" t="n"/>
      <c r="C97" s="10" t="n"/>
      <c r="D97" s="10" t="n"/>
      <c r="E97" s="10" t="n"/>
      <c r="F97" s="33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32" t="n"/>
      <c r="P97" s="32" t="n"/>
      <c r="Q97" s="16">
        <f>IF(A97="","",IF(OR(COUNTIF($A$8:$A$207,A97)&lt;&gt;1,AND(B97&lt;&gt;"",COUNTIF('用胶项目'!$A$8:$A$207,B97)&lt;&gt;1),AND(O97&lt;&gt;"",COUNTIF('沟通记录'!$A$8:$A$207,O97)&lt;&gt;1)),"检查编号或关联","正常"))</f>
        <v/>
      </c>
    </row>
    <row r="98" ht="34" customHeight="1">
      <c r="A98" s="32" t="n"/>
      <c r="B98" s="32" t="n"/>
      <c r="C98" s="10" t="n"/>
      <c r="D98" s="10" t="n"/>
      <c r="E98" s="10" t="n"/>
      <c r="F98" s="33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32" t="n"/>
      <c r="P98" s="32" t="n"/>
      <c r="Q98" s="16">
        <f>IF(A98="","",IF(OR(COUNTIF($A$8:$A$207,A98)&lt;&gt;1,AND(B98&lt;&gt;"",COUNTIF('用胶项目'!$A$8:$A$207,B98)&lt;&gt;1),AND(O98&lt;&gt;"",COUNTIF('沟通记录'!$A$8:$A$207,O98)&lt;&gt;1)),"检查编号或关联","正常"))</f>
        <v/>
      </c>
    </row>
    <row r="99" ht="34" customHeight="1">
      <c r="A99" s="32" t="n"/>
      <c r="B99" s="32" t="n"/>
      <c r="C99" s="10" t="n"/>
      <c r="D99" s="10" t="n"/>
      <c r="E99" s="10" t="n"/>
      <c r="F99" s="33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32" t="n"/>
      <c r="P99" s="32" t="n"/>
      <c r="Q99" s="16">
        <f>IF(A99="","",IF(OR(COUNTIF($A$8:$A$207,A99)&lt;&gt;1,AND(B99&lt;&gt;"",COUNTIF('用胶项目'!$A$8:$A$207,B99)&lt;&gt;1),AND(O99&lt;&gt;"",COUNTIF('沟通记录'!$A$8:$A$207,O99)&lt;&gt;1)),"检查编号或关联","正常"))</f>
        <v/>
      </c>
    </row>
    <row r="100" ht="34" customHeight="1">
      <c r="A100" s="32" t="n"/>
      <c r="B100" s="32" t="n"/>
      <c r="C100" s="10" t="n"/>
      <c r="D100" s="10" t="n"/>
      <c r="E100" s="10" t="n"/>
      <c r="F100" s="33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32" t="n"/>
      <c r="P100" s="32" t="n"/>
      <c r="Q100" s="16">
        <f>IF(A100="","",IF(OR(COUNTIF($A$8:$A$207,A100)&lt;&gt;1,AND(B100&lt;&gt;"",COUNTIF('用胶项目'!$A$8:$A$207,B100)&lt;&gt;1),AND(O100&lt;&gt;"",COUNTIF('沟通记录'!$A$8:$A$207,O100)&lt;&gt;1)),"检查编号或关联","正常"))</f>
        <v/>
      </c>
    </row>
    <row r="101" ht="34" customHeight="1">
      <c r="A101" s="32" t="n"/>
      <c r="B101" s="32" t="n"/>
      <c r="C101" s="10" t="n"/>
      <c r="D101" s="10" t="n"/>
      <c r="E101" s="10" t="n"/>
      <c r="F101" s="33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32" t="n"/>
      <c r="P101" s="32" t="n"/>
      <c r="Q101" s="16">
        <f>IF(A101="","",IF(OR(COUNTIF($A$8:$A$207,A101)&lt;&gt;1,AND(B101&lt;&gt;"",COUNTIF('用胶项目'!$A$8:$A$207,B101)&lt;&gt;1),AND(O101&lt;&gt;"",COUNTIF('沟通记录'!$A$8:$A$207,O101)&lt;&gt;1)),"检查编号或关联","正常"))</f>
        <v/>
      </c>
    </row>
    <row r="102" ht="34" customHeight="1">
      <c r="A102" s="32" t="n"/>
      <c r="B102" s="32" t="n"/>
      <c r="C102" s="10" t="n"/>
      <c r="D102" s="10" t="n"/>
      <c r="E102" s="10" t="n"/>
      <c r="F102" s="33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32" t="n"/>
      <c r="P102" s="32" t="n"/>
      <c r="Q102" s="16">
        <f>IF(A102="","",IF(OR(COUNTIF($A$8:$A$207,A102)&lt;&gt;1,AND(B102&lt;&gt;"",COUNTIF('用胶项目'!$A$8:$A$207,B102)&lt;&gt;1),AND(O102&lt;&gt;"",COUNTIF('沟通记录'!$A$8:$A$207,O102)&lt;&gt;1)),"检查编号或关联","正常"))</f>
        <v/>
      </c>
    </row>
    <row r="103" ht="34" customHeight="1">
      <c r="A103" s="32" t="n"/>
      <c r="B103" s="32" t="n"/>
      <c r="C103" s="10" t="n"/>
      <c r="D103" s="10" t="n"/>
      <c r="E103" s="10" t="n"/>
      <c r="F103" s="33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32" t="n"/>
      <c r="P103" s="32" t="n"/>
      <c r="Q103" s="16">
        <f>IF(A103="","",IF(OR(COUNTIF($A$8:$A$207,A103)&lt;&gt;1,AND(B103&lt;&gt;"",COUNTIF('用胶项目'!$A$8:$A$207,B103)&lt;&gt;1),AND(O103&lt;&gt;"",COUNTIF('沟通记录'!$A$8:$A$207,O103)&lt;&gt;1)),"检查编号或关联","正常"))</f>
        <v/>
      </c>
    </row>
    <row r="104" ht="34" customHeight="1">
      <c r="A104" s="32" t="n"/>
      <c r="B104" s="32" t="n"/>
      <c r="C104" s="10" t="n"/>
      <c r="D104" s="10" t="n"/>
      <c r="E104" s="10" t="n"/>
      <c r="F104" s="33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32" t="n"/>
      <c r="P104" s="32" t="n"/>
      <c r="Q104" s="16">
        <f>IF(A104="","",IF(OR(COUNTIF($A$8:$A$207,A104)&lt;&gt;1,AND(B104&lt;&gt;"",COUNTIF('用胶项目'!$A$8:$A$207,B104)&lt;&gt;1),AND(O104&lt;&gt;"",COUNTIF('沟通记录'!$A$8:$A$207,O104)&lt;&gt;1)),"检查编号或关联","正常"))</f>
        <v/>
      </c>
    </row>
    <row r="105" ht="34" customHeight="1">
      <c r="A105" s="32" t="n"/>
      <c r="B105" s="32" t="n"/>
      <c r="C105" s="10" t="n"/>
      <c r="D105" s="10" t="n"/>
      <c r="E105" s="10" t="n"/>
      <c r="F105" s="33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32" t="n"/>
      <c r="P105" s="32" t="n"/>
      <c r="Q105" s="16">
        <f>IF(A105="","",IF(OR(COUNTIF($A$8:$A$207,A105)&lt;&gt;1,AND(B105&lt;&gt;"",COUNTIF('用胶项目'!$A$8:$A$207,B105)&lt;&gt;1),AND(O105&lt;&gt;"",COUNTIF('沟通记录'!$A$8:$A$207,O105)&lt;&gt;1)),"检查编号或关联","正常"))</f>
        <v/>
      </c>
    </row>
    <row r="106" ht="34" customHeight="1">
      <c r="A106" s="32" t="n"/>
      <c r="B106" s="32" t="n"/>
      <c r="C106" s="10" t="n"/>
      <c r="D106" s="10" t="n"/>
      <c r="E106" s="10" t="n"/>
      <c r="F106" s="33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32" t="n"/>
      <c r="P106" s="32" t="n"/>
      <c r="Q106" s="16">
        <f>IF(A106="","",IF(OR(COUNTIF($A$8:$A$207,A106)&lt;&gt;1,AND(B106&lt;&gt;"",COUNTIF('用胶项目'!$A$8:$A$207,B106)&lt;&gt;1),AND(O106&lt;&gt;"",COUNTIF('沟通记录'!$A$8:$A$207,O106)&lt;&gt;1)),"检查编号或关联","正常"))</f>
        <v/>
      </c>
    </row>
    <row r="107" ht="34" customHeight="1">
      <c r="A107" s="32" t="n"/>
      <c r="B107" s="32" t="n"/>
      <c r="C107" s="10" t="n"/>
      <c r="D107" s="10" t="n"/>
      <c r="E107" s="10" t="n"/>
      <c r="F107" s="33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32" t="n"/>
      <c r="P107" s="32" t="n"/>
      <c r="Q107" s="16">
        <f>IF(A107="","",IF(OR(COUNTIF($A$8:$A$207,A107)&lt;&gt;1,AND(B107&lt;&gt;"",COUNTIF('用胶项目'!$A$8:$A$207,B107)&lt;&gt;1),AND(O107&lt;&gt;"",COUNTIF('沟通记录'!$A$8:$A$207,O107)&lt;&gt;1)),"检查编号或关联","正常"))</f>
        <v/>
      </c>
    </row>
    <row r="108" ht="34" customHeight="1">
      <c r="A108" s="32" t="n"/>
      <c r="B108" s="32" t="n"/>
      <c r="C108" s="10" t="n"/>
      <c r="D108" s="10" t="n"/>
      <c r="E108" s="10" t="n"/>
      <c r="F108" s="33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32" t="n"/>
      <c r="P108" s="32" t="n"/>
      <c r="Q108" s="16">
        <f>IF(A108="","",IF(OR(COUNTIF($A$8:$A$207,A108)&lt;&gt;1,AND(B108&lt;&gt;"",COUNTIF('用胶项目'!$A$8:$A$207,B108)&lt;&gt;1),AND(O108&lt;&gt;"",COUNTIF('沟通记录'!$A$8:$A$207,O108)&lt;&gt;1)),"检查编号或关联","正常"))</f>
        <v/>
      </c>
    </row>
    <row r="109" ht="34" customHeight="1">
      <c r="A109" s="32" t="n"/>
      <c r="B109" s="32" t="n"/>
      <c r="C109" s="10" t="n"/>
      <c r="D109" s="10" t="n"/>
      <c r="E109" s="10" t="n"/>
      <c r="F109" s="33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32" t="n"/>
      <c r="P109" s="32" t="n"/>
      <c r="Q109" s="16">
        <f>IF(A109="","",IF(OR(COUNTIF($A$8:$A$207,A109)&lt;&gt;1,AND(B109&lt;&gt;"",COUNTIF('用胶项目'!$A$8:$A$207,B109)&lt;&gt;1),AND(O109&lt;&gt;"",COUNTIF('沟通记录'!$A$8:$A$207,O109)&lt;&gt;1)),"检查编号或关联","正常"))</f>
        <v/>
      </c>
    </row>
    <row r="110" ht="34" customHeight="1">
      <c r="A110" s="32" t="n"/>
      <c r="B110" s="32" t="n"/>
      <c r="C110" s="10" t="n"/>
      <c r="D110" s="10" t="n"/>
      <c r="E110" s="10" t="n"/>
      <c r="F110" s="33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32" t="n"/>
      <c r="P110" s="32" t="n"/>
      <c r="Q110" s="16">
        <f>IF(A110="","",IF(OR(COUNTIF($A$8:$A$207,A110)&lt;&gt;1,AND(B110&lt;&gt;"",COUNTIF('用胶项目'!$A$8:$A$207,B110)&lt;&gt;1),AND(O110&lt;&gt;"",COUNTIF('沟通记录'!$A$8:$A$207,O110)&lt;&gt;1)),"检查编号或关联","正常"))</f>
        <v/>
      </c>
    </row>
    <row r="111" ht="34" customHeight="1">
      <c r="A111" s="32" t="n"/>
      <c r="B111" s="32" t="n"/>
      <c r="C111" s="10" t="n"/>
      <c r="D111" s="10" t="n"/>
      <c r="E111" s="10" t="n"/>
      <c r="F111" s="33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32" t="n"/>
      <c r="P111" s="32" t="n"/>
      <c r="Q111" s="16">
        <f>IF(A111="","",IF(OR(COUNTIF($A$8:$A$207,A111)&lt;&gt;1,AND(B111&lt;&gt;"",COUNTIF('用胶项目'!$A$8:$A$207,B111)&lt;&gt;1),AND(O111&lt;&gt;"",COUNTIF('沟通记录'!$A$8:$A$207,O111)&lt;&gt;1)),"检查编号或关联","正常"))</f>
        <v/>
      </c>
    </row>
    <row r="112" ht="34" customHeight="1">
      <c r="A112" s="32" t="n"/>
      <c r="B112" s="32" t="n"/>
      <c r="C112" s="10" t="n"/>
      <c r="D112" s="10" t="n"/>
      <c r="E112" s="10" t="n"/>
      <c r="F112" s="33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32" t="n"/>
      <c r="P112" s="32" t="n"/>
      <c r="Q112" s="16">
        <f>IF(A112="","",IF(OR(COUNTIF($A$8:$A$207,A112)&lt;&gt;1,AND(B112&lt;&gt;"",COUNTIF('用胶项目'!$A$8:$A$207,B112)&lt;&gt;1),AND(O112&lt;&gt;"",COUNTIF('沟通记录'!$A$8:$A$207,O112)&lt;&gt;1)),"检查编号或关联","正常"))</f>
        <v/>
      </c>
    </row>
    <row r="113" ht="34" customHeight="1">
      <c r="A113" s="32" t="n"/>
      <c r="B113" s="32" t="n"/>
      <c r="C113" s="10" t="n"/>
      <c r="D113" s="10" t="n"/>
      <c r="E113" s="10" t="n"/>
      <c r="F113" s="33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32" t="n"/>
      <c r="P113" s="32" t="n"/>
      <c r="Q113" s="16">
        <f>IF(A113="","",IF(OR(COUNTIF($A$8:$A$207,A113)&lt;&gt;1,AND(B113&lt;&gt;"",COUNTIF('用胶项目'!$A$8:$A$207,B113)&lt;&gt;1),AND(O113&lt;&gt;"",COUNTIF('沟通记录'!$A$8:$A$207,O113)&lt;&gt;1)),"检查编号或关联","正常"))</f>
        <v/>
      </c>
    </row>
    <row r="114" ht="34" customHeight="1">
      <c r="A114" s="32" t="n"/>
      <c r="B114" s="32" t="n"/>
      <c r="C114" s="10" t="n"/>
      <c r="D114" s="10" t="n"/>
      <c r="E114" s="10" t="n"/>
      <c r="F114" s="33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32" t="n"/>
      <c r="P114" s="32" t="n"/>
      <c r="Q114" s="16">
        <f>IF(A114="","",IF(OR(COUNTIF($A$8:$A$207,A114)&lt;&gt;1,AND(B114&lt;&gt;"",COUNTIF('用胶项目'!$A$8:$A$207,B114)&lt;&gt;1),AND(O114&lt;&gt;"",COUNTIF('沟通记录'!$A$8:$A$207,O114)&lt;&gt;1)),"检查编号或关联","正常"))</f>
        <v/>
      </c>
    </row>
    <row r="115" ht="34" customHeight="1">
      <c r="A115" s="32" t="n"/>
      <c r="B115" s="32" t="n"/>
      <c r="C115" s="10" t="n"/>
      <c r="D115" s="10" t="n"/>
      <c r="E115" s="10" t="n"/>
      <c r="F115" s="33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32" t="n"/>
      <c r="P115" s="32" t="n"/>
      <c r="Q115" s="16">
        <f>IF(A115="","",IF(OR(COUNTIF($A$8:$A$207,A115)&lt;&gt;1,AND(B115&lt;&gt;"",COUNTIF('用胶项目'!$A$8:$A$207,B115)&lt;&gt;1),AND(O115&lt;&gt;"",COUNTIF('沟通记录'!$A$8:$A$207,O115)&lt;&gt;1)),"检查编号或关联","正常"))</f>
        <v/>
      </c>
    </row>
    <row r="116" ht="34" customHeight="1">
      <c r="A116" s="32" t="n"/>
      <c r="B116" s="32" t="n"/>
      <c r="C116" s="10" t="n"/>
      <c r="D116" s="10" t="n"/>
      <c r="E116" s="10" t="n"/>
      <c r="F116" s="33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32" t="n"/>
      <c r="P116" s="32" t="n"/>
      <c r="Q116" s="16">
        <f>IF(A116="","",IF(OR(COUNTIF($A$8:$A$207,A116)&lt;&gt;1,AND(B116&lt;&gt;"",COUNTIF('用胶项目'!$A$8:$A$207,B116)&lt;&gt;1),AND(O116&lt;&gt;"",COUNTIF('沟通记录'!$A$8:$A$207,O116)&lt;&gt;1)),"检查编号或关联","正常"))</f>
        <v/>
      </c>
    </row>
    <row r="117" ht="34" customHeight="1">
      <c r="A117" s="32" t="n"/>
      <c r="B117" s="32" t="n"/>
      <c r="C117" s="10" t="n"/>
      <c r="D117" s="10" t="n"/>
      <c r="E117" s="10" t="n"/>
      <c r="F117" s="33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32" t="n"/>
      <c r="P117" s="32" t="n"/>
      <c r="Q117" s="16">
        <f>IF(A117="","",IF(OR(COUNTIF($A$8:$A$207,A117)&lt;&gt;1,AND(B117&lt;&gt;"",COUNTIF('用胶项目'!$A$8:$A$207,B117)&lt;&gt;1),AND(O117&lt;&gt;"",COUNTIF('沟通记录'!$A$8:$A$207,O117)&lt;&gt;1)),"检查编号或关联","正常"))</f>
        <v/>
      </c>
    </row>
    <row r="118" ht="34" customHeight="1">
      <c r="A118" s="32" t="n"/>
      <c r="B118" s="32" t="n"/>
      <c r="C118" s="10" t="n"/>
      <c r="D118" s="10" t="n"/>
      <c r="E118" s="10" t="n"/>
      <c r="F118" s="33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32" t="n"/>
      <c r="P118" s="32" t="n"/>
      <c r="Q118" s="16">
        <f>IF(A118="","",IF(OR(COUNTIF($A$8:$A$207,A118)&lt;&gt;1,AND(B118&lt;&gt;"",COUNTIF('用胶项目'!$A$8:$A$207,B118)&lt;&gt;1),AND(O118&lt;&gt;"",COUNTIF('沟通记录'!$A$8:$A$207,O118)&lt;&gt;1)),"检查编号或关联","正常"))</f>
        <v/>
      </c>
    </row>
    <row r="119" ht="34" customHeight="1">
      <c r="A119" s="32" t="n"/>
      <c r="B119" s="32" t="n"/>
      <c r="C119" s="10" t="n"/>
      <c r="D119" s="10" t="n"/>
      <c r="E119" s="10" t="n"/>
      <c r="F119" s="33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32" t="n"/>
      <c r="P119" s="32" t="n"/>
      <c r="Q119" s="16">
        <f>IF(A119="","",IF(OR(COUNTIF($A$8:$A$207,A119)&lt;&gt;1,AND(B119&lt;&gt;"",COUNTIF('用胶项目'!$A$8:$A$207,B119)&lt;&gt;1),AND(O119&lt;&gt;"",COUNTIF('沟通记录'!$A$8:$A$207,O119)&lt;&gt;1)),"检查编号或关联","正常"))</f>
        <v/>
      </c>
    </row>
    <row r="120" ht="34" customHeight="1">
      <c r="A120" s="32" t="n"/>
      <c r="B120" s="32" t="n"/>
      <c r="C120" s="10" t="n"/>
      <c r="D120" s="10" t="n"/>
      <c r="E120" s="10" t="n"/>
      <c r="F120" s="33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32" t="n"/>
      <c r="P120" s="32" t="n"/>
      <c r="Q120" s="16">
        <f>IF(A120="","",IF(OR(COUNTIF($A$8:$A$207,A120)&lt;&gt;1,AND(B120&lt;&gt;"",COUNTIF('用胶项目'!$A$8:$A$207,B120)&lt;&gt;1),AND(O120&lt;&gt;"",COUNTIF('沟通记录'!$A$8:$A$207,O120)&lt;&gt;1)),"检查编号或关联","正常"))</f>
        <v/>
      </c>
    </row>
    <row r="121" ht="34" customHeight="1">
      <c r="A121" s="32" t="n"/>
      <c r="B121" s="32" t="n"/>
      <c r="C121" s="10" t="n"/>
      <c r="D121" s="10" t="n"/>
      <c r="E121" s="10" t="n"/>
      <c r="F121" s="33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32" t="n"/>
      <c r="P121" s="32" t="n"/>
      <c r="Q121" s="16">
        <f>IF(A121="","",IF(OR(COUNTIF($A$8:$A$207,A121)&lt;&gt;1,AND(B121&lt;&gt;"",COUNTIF('用胶项目'!$A$8:$A$207,B121)&lt;&gt;1),AND(O121&lt;&gt;"",COUNTIF('沟通记录'!$A$8:$A$207,O121)&lt;&gt;1)),"检查编号或关联","正常"))</f>
        <v/>
      </c>
    </row>
    <row r="122" ht="34" customHeight="1">
      <c r="A122" s="32" t="n"/>
      <c r="B122" s="32" t="n"/>
      <c r="C122" s="10" t="n"/>
      <c r="D122" s="10" t="n"/>
      <c r="E122" s="10" t="n"/>
      <c r="F122" s="33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32" t="n"/>
      <c r="P122" s="32" t="n"/>
      <c r="Q122" s="16">
        <f>IF(A122="","",IF(OR(COUNTIF($A$8:$A$207,A122)&lt;&gt;1,AND(B122&lt;&gt;"",COUNTIF('用胶项目'!$A$8:$A$207,B122)&lt;&gt;1),AND(O122&lt;&gt;"",COUNTIF('沟通记录'!$A$8:$A$207,O122)&lt;&gt;1)),"检查编号或关联","正常"))</f>
        <v/>
      </c>
    </row>
    <row r="123" ht="34" customHeight="1">
      <c r="A123" s="32" t="n"/>
      <c r="B123" s="32" t="n"/>
      <c r="C123" s="10" t="n"/>
      <c r="D123" s="10" t="n"/>
      <c r="E123" s="10" t="n"/>
      <c r="F123" s="33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32" t="n"/>
      <c r="P123" s="32" t="n"/>
      <c r="Q123" s="16">
        <f>IF(A123="","",IF(OR(COUNTIF($A$8:$A$207,A123)&lt;&gt;1,AND(B123&lt;&gt;"",COUNTIF('用胶项目'!$A$8:$A$207,B123)&lt;&gt;1),AND(O123&lt;&gt;"",COUNTIF('沟通记录'!$A$8:$A$207,O123)&lt;&gt;1)),"检查编号或关联","正常"))</f>
        <v/>
      </c>
    </row>
    <row r="124" ht="34" customHeight="1">
      <c r="A124" s="32" t="n"/>
      <c r="B124" s="32" t="n"/>
      <c r="C124" s="10" t="n"/>
      <c r="D124" s="10" t="n"/>
      <c r="E124" s="10" t="n"/>
      <c r="F124" s="33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32" t="n"/>
      <c r="P124" s="32" t="n"/>
      <c r="Q124" s="16">
        <f>IF(A124="","",IF(OR(COUNTIF($A$8:$A$207,A124)&lt;&gt;1,AND(B124&lt;&gt;"",COUNTIF('用胶项目'!$A$8:$A$207,B124)&lt;&gt;1),AND(O124&lt;&gt;"",COUNTIF('沟通记录'!$A$8:$A$207,O124)&lt;&gt;1)),"检查编号或关联","正常"))</f>
        <v/>
      </c>
    </row>
    <row r="125" ht="34" customHeight="1">
      <c r="A125" s="32" t="n"/>
      <c r="B125" s="32" t="n"/>
      <c r="C125" s="10" t="n"/>
      <c r="D125" s="10" t="n"/>
      <c r="E125" s="10" t="n"/>
      <c r="F125" s="33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32" t="n"/>
      <c r="P125" s="32" t="n"/>
      <c r="Q125" s="16">
        <f>IF(A125="","",IF(OR(COUNTIF($A$8:$A$207,A125)&lt;&gt;1,AND(B125&lt;&gt;"",COUNTIF('用胶项目'!$A$8:$A$207,B125)&lt;&gt;1),AND(O125&lt;&gt;"",COUNTIF('沟通记录'!$A$8:$A$207,O125)&lt;&gt;1)),"检查编号或关联","正常"))</f>
        <v/>
      </c>
    </row>
    <row r="126" ht="34" customHeight="1">
      <c r="A126" s="32" t="n"/>
      <c r="B126" s="32" t="n"/>
      <c r="C126" s="10" t="n"/>
      <c r="D126" s="10" t="n"/>
      <c r="E126" s="10" t="n"/>
      <c r="F126" s="33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32" t="n"/>
      <c r="P126" s="32" t="n"/>
      <c r="Q126" s="16">
        <f>IF(A126="","",IF(OR(COUNTIF($A$8:$A$207,A126)&lt;&gt;1,AND(B126&lt;&gt;"",COUNTIF('用胶项目'!$A$8:$A$207,B126)&lt;&gt;1),AND(O126&lt;&gt;"",COUNTIF('沟通记录'!$A$8:$A$207,O126)&lt;&gt;1)),"检查编号或关联","正常"))</f>
        <v/>
      </c>
    </row>
    <row r="127" ht="34" customHeight="1">
      <c r="A127" s="32" t="n"/>
      <c r="B127" s="32" t="n"/>
      <c r="C127" s="10" t="n"/>
      <c r="D127" s="10" t="n"/>
      <c r="E127" s="10" t="n"/>
      <c r="F127" s="33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32" t="n"/>
      <c r="P127" s="32" t="n"/>
      <c r="Q127" s="16">
        <f>IF(A127="","",IF(OR(COUNTIF($A$8:$A$207,A127)&lt;&gt;1,AND(B127&lt;&gt;"",COUNTIF('用胶项目'!$A$8:$A$207,B127)&lt;&gt;1),AND(O127&lt;&gt;"",COUNTIF('沟通记录'!$A$8:$A$207,O127)&lt;&gt;1)),"检查编号或关联","正常"))</f>
        <v/>
      </c>
    </row>
    <row r="128" ht="34" customHeight="1">
      <c r="A128" s="32" t="n"/>
      <c r="B128" s="32" t="n"/>
      <c r="C128" s="10" t="n"/>
      <c r="D128" s="10" t="n"/>
      <c r="E128" s="10" t="n"/>
      <c r="F128" s="33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32" t="n"/>
      <c r="P128" s="32" t="n"/>
      <c r="Q128" s="16">
        <f>IF(A128="","",IF(OR(COUNTIF($A$8:$A$207,A128)&lt;&gt;1,AND(B128&lt;&gt;"",COUNTIF('用胶项目'!$A$8:$A$207,B128)&lt;&gt;1),AND(O128&lt;&gt;"",COUNTIF('沟通记录'!$A$8:$A$207,O128)&lt;&gt;1)),"检查编号或关联","正常"))</f>
        <v/>
      </c>
    </row>
    <row r="129" ht="34" customHeight="1">
      <c r="A129" s="32" t="n"/>
      <c r="B129" s="32" t="n"/>
      <c r="C129" s="10" t="n"/>
      <c r="D129" s="10" t="n"/>
      <c r="E129" s="10" t="n"/>
      <c r="F129" s="33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32" t="n"/>
      <c r="P129" s="32" t="n"/>
      <c r="Q129" s="16">
        <f>IF(A129="","",IF(OR(COUNTIF($A$8:$A$207,A129)&lt;&gt;1,AND(B129&lt;&gt;"",COUNTIF('用胶项目'!$A$8:$A$207,B129)&lt;&gt;1),AND(O129&lt;&gt;"",COUNTIF('沟通记录'!$A$8:$A$207,O129)&lt;&gt;1)),"检查编号或关联","正常"))</f>
        <v/>
      </c>
    </row>
    <row r="130" ht="34" customHeight="1">
      <c r="A130" s="32" t="n"/>
      <c r="B130" s="32" t="n"/>
      <c r="C130" s="10" t="n"/>
      <c r="D130" s="10" t="n"/>
      <c r="E130" s="10" t="n"/>
      <c r="F130" s="33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32" t="n"/>
      <c r="P130" s="32" t="n"/>
      <c r="Q130" s="16">
        <f>IF(A130="","",IF(OR(COUNTIF($A$8:$A$207,A130)&lt;&gt;1,AND(B130&lt;&gt;"",COUNTIF('用胶项目'!$A$8:$A$207,B130)&lt;&gt;1),AND(O130&lt;&gt;"",COUNTIF('沟通记录'!$A$8:$A$207,O130)&lt;&gt;1)),"检查编号或关联","正常"))</f>
        <v/>
      </c>
    </row>
    <row r="131" ht="34" customHeight="1">
      <c r="A131" s="32" t="n"/>
      <c r="B131" s="32" t="n"/>
      <c r="C131" s="10" t="n"/>
      <c r="D131" s="10" t="n"/>
      <c r="E131" s="10" t="n"/>
      <c r="F131" s="33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32" t="n"/>
      <c r="P131" s="32" t="n"/>
      <c r="Q131" s="16">
        <f>IF(A131="","",IF(OR(COUNTIF($A$8:$A$207,A131)&lt;&gt;1,AND(B131&lt;&gt;"",COUNTIF('用胶项目'!$A$8:$A$207,B131)&lt;&gt;1),AND(O131&lt;&gt;"",COUNTIF('沟通记录'!$A$8:$A$207,O131)&lt;&gt;1)),"检查编号或关联","正常"))</f>
        <v/>
      </c>
    </row>
    <row r="132" ht="34" customHeight="1">
      <c r="A132" s="32" t="n"/>
      <c r="B132" s="32" t="n"/>
      <c r="C132" s="10" t="n"/>
      <c r="D132" s="10" t="n"/>
      <c r="E132" s="10" t="n"/>
      <c r="F132" s="33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32" t="n"/>
      <c r="P132" s="32" t="n"/>
      <c r="Q132" s="16">
        <f>IF(A132="","",IF(OR(COUNTIF($A$8:$A$207,A132)&lt;&gt;1,AND(B132&lt;&gt;"",COUNTIF('用胶项目'!$A$8:$A$207,B132)&lt;&gt;1),AND(O132&lt;&gt;"",COUNTIF('沟通记录'!$A$8:$A$207,O132)&lt;&gt;1)),"检查编号或关联","正常"))</f>
        <v/>
      </c>
    </row>
    <row r="133" ht="34" customHeight="1">
      <c r="A133" s="32" t="n"/>
      <c r="B133" s="32" t="n"/>
      <c r="C133" s="10" t="n"/>
      <c r="D133" s="10" t="n"/>
      <c r="E133" s="10" t="n"/>
      <c r="F133" s="33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32" t="n"/>
      <c r="P133" s="32" t="n"/>
      <c r="Q133" s="16">
        <f>IF(A133="","",IF(OR(COUNTIF($A$8:$A$207,A133)&lt;&gt;1,AND(B133&lt;&gt;"",COUNTIF('用胶项目'!$A$8:$A$207,B133)&lt;&gt;1),AND(O133&lt;&gt;"",COUNTIF('沟通记录'!$A$8:$A$207,O133)&lt;&gt;1)),"检查编号或关联","正常"))</f>
        <v/>
      </c>
    </row>
    <row r="134" ht="34" customHeight="1">
      <c r="A134" s="32" t="n"/>
      <c r="B134" s="32" t="n"/>
      <c r="C134" s="10" t="n"/>
      <c r="D134" s="10" t="n"/>
      <c r="E134" s="10" t="n"/>
      <c r="F134" s="33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32" t="n"/>
      <c r="P134" s="32" t="n"/>
      <c r="Q134" s="16">
        <f>IF(A134="","",IF(OR(COUNTIF($A$8:$A$207,A134)&lt;&gt;1,AND(B134&lt;&gt;"",COUNTIF('用胶项目'!$A$8:$A$207,B134)&lt;&gt;1),AND(O134&lt;&gt;"",COUNTIF('沟通记录'!$A$8:$A$207,O134)&lt;&gt;1)),"检查编号或关联","正常"))</f>
        <v/>
      </c>
    </row>
    <row r="135" ht="34" customHeight="1">
      <c r="A135" s="32" t="n"/>
      <c r="B135" s="32" t="n"/>
      <c r="C135" s="10" t="n"/>
      <c r="D135" s="10" t="n"/>
      <c r="E135" s="10" t="n"/>
      <c r="F135" s="33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32" t="n"/>
      <c r="P135" s="32" t="n"/>
      <c r="Q135" s="16">
        <f>IF(A135="","",IF(OR(COUNTIF($A$8:$A$207,A135)&lt;&gt;1,AND(B135&lt;&gt;"",COUNTIF('用胶项目'!$A$8:$A$207,B135)&lt;&gt;1),AND(O135&lt;&gt;"",COUNTIF('沟通记录'!$A$8:$A$207,O135)&lt;&gt;1)),"检查编号或关联","正常"))</f>
        <v/>
      </c>
    </row>
    <row r="136" ht="34" customHeight="1">
      <c r="A136" s="32" t="n"/>
      <c r="B136" s="32" t="n"/>
      <c r="C136" s="10" t="n"/>
      <c r="D136" s="10" t="n"/>
      <c r="E136" s="10" t="n"/>
      <c r="F136" s="33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32" t="n"/>
      <c r="P136" s="32" t="n"/>
      <c r="Q136" s="16">
        <f>IF(A136="","",IF(OR(COUNTIF($A$8:$A$207,A136)&lt;&gt;1,AND(B136&lt;&gt;"",COUNTIF('用胶项目'!$A$8:$A$207,B136)&lt;&gt;1),AND(O136&lt;&gt;"",COUNTIF('沟通记录'!$A$8:$A$207,O136)&lt;&gt;1)),"检查编号或关联","正常"))</f>
        <v/>
      </c>
    </row>
    <row r="137" ht="34" customHeight="1">
      <c r="A137" s="32" t="n"/>
      <c r="B137" s="32" t="n"/>
      <c r="C137" s="10" t="n"/>
      <c r="D137" s="10" t="n"/>
      <c r="E137" s="10" t="n"/>
      <c r="F137" s="33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32" t="n"/>
      <c r="P137" s="32" t="n"/>
      <c r="Q137" s="16">
        <f>IF(A137="","",IF(OR(COUNTIF($A$8:$A$207,A137)&lt;&gt;1,AND(B137&lt;&gt;"",COUNTIF('用胶项目'!$A$8:$A$207,B137)&lt;&gt;1),AND(O137&lt;&gt;"",COUNTIF('沟通记录'!$A$8:$A$207,O137)&lt;&gt;1)),"检查编号或关联","正常"))</f>
        <v/>
      </c>
    </row>
    <row r="138" ht="34" customHeight="1">
      <c r="A138" s="32" t="n"/>
      <c r="B138" s="32" t="n"/>
      <c r="C138" s="10" t="n"/>
      <c r="D138" s="10" t="n"/>
      <c r="E138" s="10" t="n"/>
      <c r="F138" s="33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32" t="n"/>
      <c r="P138" s="32" t="n"/>
      <c r="Q138" s="16">
        <f>IF(A138="","",IF(OR(COUNTIF($A$8:$A$207,A138)&lt;&gt;1,AND(B138&lt;&gt;"",COUNTIF('用胶项目'!$A$8:$A$207,B138)&lt;&gt;1),AND(O138&lt;&gt;"",COUNTIF('沟通记录'!$A$8:$A$207,O138)&lt;&gt;1)),"检查编号或关联","正常"))</f>
        <v/>
      </c>
    </row>
    <row r="139" ht="34" customHeight="1">
      <c r="A139" s="32" t="n"/>
      <c r="B139" s="32" t="n"/>
      <c r="C139" s="10" t="n"/>
      <c r="D139" s="10" t="n"/>
      <c r="E139" s="10" t="n"/>
      <c r="F139" s="33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32" t="n"/>
      <c r="P139" s="32" t="n"/>
      <c r="Q139" s="16">
        <f>IF(A139="","",IF(OR(COUNTIF($A$8:$A$207,A139)&lt;&gt;1,AND(B139&lt;&gt;"",COUNTIF('用胶项目'!$A$8:$A$207,B139)&lt;&gt;1),AND(O139&lt;&gt;"",COUNTIF('沟通记录'!$A$8:$A$207,O139)&lt;&gt;1)),"检查编号或关联","正常"))</f>
        <v/>
      </c>
    </row>
    <row r="140" ht="34" customHeight="1">
      <c r="A140" s="32" t="n"/>
      <c r="B140" s="32" t="n"/>
      <c r="C140" s="10" t="n"/>
      <c r="D140" s="10" t="n"/>
      <c r="E140" s="10" t="n"/>
      <c r="F140" s="33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32" t="n"/>
      <c r="P140" s="32" t="n"/>
      <c r="Q140" s="16">
        <f>IF(A140="","",IF(OR(COUNTIF($A$8:$A$207,A140)&lt;&gt;1,AND(B140&lt;&gt;"",COUNTIF('用胶项目'!$A$8:$A$207,B140)&lt;&gt;1),AND(O140&lt;&gt;"",COUNTIF('沟通记录'!$A$8:$A$207,O140)&lt;&gt;1)),"检查编号或关联","正常"))</f>
        <v/>
      </c>
    </row>
    <row r="141" ht="34" customHeight="1">
      <c r="A141" s="32" t="n"/>
      <c r="B141" s="32" t="n"/>
      <c r="C141" s="10" t="n"/>
      <c r="D141" s="10" t="n"/>
      <c r="E141" s="10" t="n"/>
      <c r="F141" s="33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32" t="n"/>
      <c r="P141" s="32" t="n"/>
      <c r="Q141" s="16">
        <f>IF(A141="","",IF(OR(COUNTIF($A$8:$A$207,A141)&lt;&gt;1,AND(B141&lt;&gt;"",COUNTIF('用胶项目'!$A$8:$A$207,B141)&lt;&gt;1),AND(O141&lt;&gt;"",COUNTIF('沟通记录'!$A$8:$A$207,O141)&lt;&gt;1)),"检查编号或关联","正常"))</f>
        <v/>
      </c>
    </row>
    <row r="142" ht="34" customHeight="1">
      <c r="A142" s="32" t="n"/>
      <c r="B142" s="32" t="n"/>
      <c r="C142" s="10" t="n"/>
      <c r="D142" s="10" t="n"/>
      <c r="E142" s="10" t="n"/>
      <c r="F142" s="33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32" t="n"/>
      <c r="P142" s="32" t="n"/>
      <c r="Q142" s="16">
        <f>IF(A142="","",IF(OR(COUNTIF($A$8:$A$207,A142)&lt;&gt;1,AND(B142&lt;&gt;"",COUNTIF('用胶项目'!$A$8:$A$207,B142)&lt;&gt;1),AND(O142&lt;&gt;"",COUNTIF('沟通记录'!$A$8:$A$207,O142)&lt;&gt;1)),"检查编号或关联","正常"))</f>
        <v/>
      </c>
    </row>
    <row r="143" ht="34" customHeight="1">
      <c r="A143" s="32" t="n"/>
      <c r="B143" s="32" t="n"/>
      <c r="C143" s="10" t="n"/>
      <c r="D143" s="10" t="n"/>
      <c r="E143" s="10" t="n"/>
      <c r="F143" s="33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32" t="n"/>
      <c r="P143" s="32" t="n"/>
      <c r="Q143" s="16">
        <f>IF(A143="","",IF(OR(COUNTIF($A$8:$A$207,A143)&lt;&gt;1,AND(B143&lt;&gt;"",COUNTIF('用胶项目'!$A$8:$A$207,B143)&lt;&gt;1),AND(O143&lt;&gt;"",COUNTIF('沟通记录'!$A$8:$A$207,O143)&lt;&gt;1)),"检查编号或关联","正常"))</f>
        <v/>
      </c>
    </row>
    <row r="144" ht="34" customHeight="1">
      <c r="A144" s="32" t="n"/>
      <c r="B144" s="32" t="n"/>
      <c r="C144" s="10" t="n"/>
      <c r="D144" s="10" t="n"/>
      <c r="E144" s="10" t="n"/>
      <c r="F144" s="33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32" t="n"/>
      <c r="P144" s="32" t="n"/>
      <c r="Q144" s="16">
        <f>IF(A144="","",IF(OR(COUNTIF($A$8:$A$207,A144)&lt;&gt;1,AND(B144&lt;&gt;"",COUNTIF('用胶项目'!$A$8:$A$207,B144)&lt;&gt;1),AND(O144&lt;&gt;"",COUNTIF('沟通记录'!$A$8:$A$207,O144)&lt;&gt;1)),"检查编号或关联","正常"))</f>
        <v/>
      </c>
    </row>
    <row r="145" ht="34" customHeight="1">
      <c r="A145" s="32" t="n"/>
      <c r="B145" s="32" t="n"/>
      <c r="C145" s="10" t="n"/>
      <c r="D145" s="10" t="n"/>
      <c r="E145" s="10" t="n"/>
      <c r="F145" s="33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32" t="n"/>
      <c r="P145" s="32" t="n"/>
      <c r="Q145" s="16">
        <f>IF(A145="","",IF(OR(COUNTIF($A$8:$A$207,A145)&lt;&gt;1,AND(B145&lt;&gt;"",COUNTIF('用胶项目'!$A$8:$A$207,B145)&lt;&gt;1),AND(O145&lt;&gt;"",COUNTIF('沟通记录'!$A$8:$A$207,O145)&lt;&gt;1)),"检查编号或关联","正常"))</f>
        <v/>
      </c>
    </row>
    <row r="146" ht="34" customHeight="1">
      <c r="A146" s="32" t="n"/>
      <c r="B146" s="32" t="n"/>
      <c r="C146" s="10" t="n"/>
      <c r="D146" s="10" t="n"/>
      <c r="E146" s="10" t="n"/>
      <c r="F146" s="33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32" t="n"/>
      <c r="P146" s="32" t="n"/>
      <c r="Q146" s="16">
        <f>IF(A146="","",IF(OR(COUNTIF($A$8:$A$207,A146)&lt;&gt;1,AND(B146&lt;&gt;"",COUNTIF('用胶项目'!$A$8:$A$207,B146)&lt;&gt;1),AND(O146&lt;&gt;"",COUNTIF('沟通记录'!$A$8:$A$207,O146)&lt;&gt;1)),"检查编号或关联","正常"))</f>
        <v/>
      </c>
    </row>
    <row r="147" ht="34" customHeight="1">
      <c r="A147" s="32" t="n"/>
      <c r="B147" s="32" t="n"/>
      <c r="C147" s="10" t="n"/>
      <c r="D147" s="10" t="n"/>
      <c r="E147" s="10" t="n"/>
      <c r="F147" s="33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32" t="n"/>
      <c r="P147" s="32" t="n"/>
      <c r="Q147" s="16">
        <f>IF(A147="","",IF(OR(COUNTIF($A$8:$A$207,A147)&lt;&gt;1,AND(B147&lt;&gt;"",COUNTIF('用胶项目'!$A$8:$A$207,B147)&lt;&gt;1),AND(O147&lt;&gt;"",COUNTIF('沟通记录'!$A$8:$A$207,O147)&lt;&gt;1)),"检查编号或关联","正常"))</f>
        <v/>
      </c>
    </row>
    <row r="148" ht="34" customHeight="1">
      <c r="A148" s="32" t="n"/>
      <c r="B148" s="32" t="n"/>
      <c r="C148" s="10" t="n"/>
      <c r="D148" s="10" t="n"/>
      <c r="E148" s="10" t="n"/>
      <c r="F148" s="33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32" t="n"/>
      <c r="P148" s="32" t="n"/>
      <c r="Q148" s="16">
        <f>IF(A148="","",IF(OR(COUNTIF($A$8:$A$207,A148)&lt;&gt;1,AND(B148&lt;&gt;"",COUNTIF('用胶项目'!$A$8:$A$207,B148)&lt;&gt;1),AND(O148&lt;&gt;"",COUNTIF('沟通记录'!$A$8:$A$207,O148)&lt;&gt;1)),"检查编号或关联","正常"))</f>
        <v/>
      </c>
    </row>
    <row r="149" ht="34" customHeight="1">
      <c r="A149" s="32" t="n"/>
      <c r="B149" s="32" t="n"/>
      <c r="C149" s="10" t="n"/>
      <c r="D149" s="10" t="n"/>
      <c r="E149" s="10" t="n"/>
      <c r="F149" s="33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32" t="n"/>
      <c r="P149" s="32" t="n"/>
      <c r="Q149" s="16">
        <f>IF(A149="","",IF(OR(COUNTIF($A$8:$A$207,A149)&lt;&gt;1,AND(B149&lt;&gt;"",COUNTIF('用胶项目'!$A$8:$A$207,B149)&lt;&gt;1),AND(O149&lt;&gt;"",COUNTIF('沟通记录'!$A$8:$A$207,O149)&lt;&gt;1)),"检查编号或关联","正常"))</f>
        <v/>
      </c>
    </row>
    <row r="150" ht="34" customHeight="1">
      <c r="A150" s="32" t="n"/>
      <c r="B150" s="32" t="n"/>
      <c r="C150" s="10" t="n"/>
      <c r="D150" s="10" t="n"/>
      <c r="E150" s="10" t="n"/>
      <c r="F150" s="33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32" t="n"/>
      <c r="P150" s="32" t="n"/>
      <c r="Q150" s="16">
        <f>IF(A150="","",IF(OR(COUNTIF($A$8:$A$207,A150)&lt;&gt;1,AND(B150&lt;&gt;"",COUNTIF('用胶项目'!$A$8:$A$207,B150)&lt;&gt;1),AND(O150&lt;&gt;"",COUNTIF('沟通记录'!$A$8:$A$207,O150)&lt;&gt;1)),"检查编号或关联","正常"))</f>
        <v/>
      </c>
    </row>
    <row r="151" ht="34" customHeight="1">
      <c r="A151" s="32" t="n"/>
      <c r="B151" s="32" t="n"/>
      <c r="C151" s="10" t="n"/>
      <c r="D151" s="10" t="n"/>
      <c r="E151" s="10" t="n"/>
      <c r="F151" s="33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32" t="n"/>
      <c r="P151" s="32" t="n"/>
      <c r="Q151" s="16">
        <f>IF(A151="","",IF(OR(COUNTIF($A$8:$A$207,A151)&lt;&gt;1,AND(B151&lt;&gt;"",COUNTIF('用胶项目'!$A$8:$A$207,B151)&lt;&gt;1),AND(O151&lt;&gt;"",COUNTIF('沟通记录'!$A$8:$A$207,O151)&lt;&gt;1)),"检查编号或关联","正常"))</f>
        <v/>
      </c>
    </row>
    <row r="152" ht="34" customHeight="1">
      <c r="A152" s="32" t="n"/>
      <c r="B152" s="32" t="n"/>
      <c r="C152" s="10" t="n"/>
      <c r="D152" s="10" t="n"/>
      <c r="E152" s="10" t="n"/>
      <c r="F152" s="33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32" t="n"/>
      <c r="P152" s="32" t="n"/>
      <c r="Q152" s="16">
        <f>IF(A152="","",IF(OR(COUNTIF($A$8:$A$207,A152)&lt;&gt;1,AND(B152&lt;&gt;"",COUNTIF('用胶项目'!$A$8:$A$207,B152)&lt;&gt;1),AND(O152&lt;&gt;"",COUNTIF('沟通记录'!$A$8:$A$207,O152)&lt;&gt;1)),"检查编号或关联","正常"))</f>
        <v/>
      </c>
    </row>
    <row r="153" ht="34" customHeight="1">
      <c r="A153" s="32" t="n"/>
      <c r="B153" s="32" t="n"/>
      <c r="C153" s="10" t="n"/>
      <c r="D153" s="10" t="n"/>
      <c r="E153" s="10" t="n"/>
      <c r="F153" s="33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32" t="n"/>
      <c r="P153" s="32" t="n"/>
      <c r="Q153" s="16">
        <f>IF(A153="","",IF(OR(COUNTIF($A$8:$A$207,A153)&lt;&gt;1,AND(B153&lt;&gt;"",COUNTIF('用胶项目'!$A$8:$A$207,B153)&lt;&gt;1),AND(O153&lt;&gt;"",COUNTIF('沟通记录'!$A$8:$A$207,O153)&lt;&gt;1)),"检查编号或关联","正常"))</f>
        <v/>
      </c>
    </row>
    <row r="154" ht="34" customHeight="1">
      <c r="A154" s="32" t="n"/>
      <c r="B154" s="32" t="n"/>
      <c r="C154" s="10" t="n"/>
      <c r="D154" s="10" t="n"/>
      <c r="E154" s="10" t="n"/>
      <c r="F154" s="33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32" t="n"/>
      <c r="P154" s="32" t="n"/>
      <c r="Q154" s="16">
        <f>IF(A154="","",IF(OR(COUNTIF($A$8:$A$207,A154)&lt;&gt;1,AND(B154&lt;&gt;"",COUNTIF('用胶项目'!$A$8:$A$207,B154)&lt;&gt;1),AND(O154&lt;&gt;"",COUNTIF('沟通记录'!$A$8:$A$207,O154)&lt;&gt;1)),"检查编号或关联","正常"))</f>
        <v/>
      </c>
    </row>
    <row r="155" ht="34" customHeight="1">
      <c r="A155" s="32" t="n"/>
      <c r="B155" s="32" t="n"/>
      <c r="C155" s="10" t="n"/>
      <c r="D155" s="10" t="n"/>
      <c r="E155" s="10" t="n"/>
      <c r="F155" s="33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32" t="n"/>
      <c r="P155" s="32" t="n"/>
      <c r="Q155" s="16">
        <f>IF(A155="","",IF(OR(COUNTIF($A$8:$A$207,A155)&lt;&gt;1,AND(B155&lt;&gt;"",COUNTIF('用胶项目'!$A$8:$A$207,B155)&lt;&gt;1),AND(O155&lt;&gt;"",COUNTIF('沟通记录'!$A$8:$A$207,O155)&lt;&gt;1)),"检查编号或关联","正常"))</f>
        <v/>
      </c>
    </row>
    <row r="156" ht="34" customHeight="1">
      <c r="A156" s="32" t="n"/>
      <c r="B156" s="32" t="n"/>
      <c r="C156" s="10" t="n"/>
      <c r="D156" s="10" t="n"/>
      <c r="E156" s="10" t="n"/>
      <c r="F156" s="33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32" t="n"/>
      <c r="P156" s="32" t="n"/>
      <c r="Q156" s="16">
        <f>IF(A156="","",IF(OR(COUNTIF($A$8:$A$207,A156)&lt;&gt;1,AND(B156&lt;&gt;"",COUNTIF('用胶项目'!$A$8:$A$207,B156)&lt;&gt;1),AND(O156&lt;&gt;"",COUNTIF('沟通记录'!$A$8:$A$207,O156)&lt;&gt;1)),"检查编号或关联","正常"))</f>
        <v/>
      </c>
    </row>
    <row r="157" ht="34" customHeight="1">
      <c r="A157" s="32" t="n"/>
      <c r="B157" s="32" t="n"/>
      <c r="C157" s="10" t="n"/>
      <c r="D157" s="10" t="n"/>
      <c r="E157" s="10" t="n"/>
      <c r="F157" s="33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32" t="n"/>
      <c r="P157" s="32" t="n"/>
      <c r="Q157" s="16">
        <f>IF(A157="","",IF(OR(COUNTIF($A$8:$A$207,A157)&lt;&gt;1,AND(B157&lt;&gt;"",COUNTIF('用胶项目'!$A$8:$A$207,B157)&lt;&gt;1),AND(O157&lt;&gt;"",COUNTIF('沟通记录'!$A$8:$A$207,O157)&lt;&gt;1)),"检查编号或关联","正常"))</f>
        <v/>
      </c>
    </row>
    <row r="158" ht="34" customHeight="1">
      <c r="A158" s="32" t="n"/>
      <c r="B158" s="32" t="n"/>
      <c r="C158" s="10" t="n"/>
      <c r="D158" s="10" t="n"/>
      <c r="E158" s="10" t="n"/>
      <c r="F158" s="33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32" t="n"/>
      <c r="P158" s="32" t="n"/>
      <c r="Q158" s="16">
        <f>IF(A158="","",IF(OR(COUNTIF($A$8:$A$207,A158)&lt;&gt;1,AND(B158&lt;&gt;"",COUNTIF('用胶项目'!$A$8:$A$207,B158)&lt;&gt;1),AND(O158&lt;&gt;"",COUNTIF('沟通记录'!$A$8:$A$207,O158)&lt;&gt;1)),"检查编号或关联","正常"))</f>
        <v/>
      </c>
    </row>
    <row r="159" ht="34" customHeight="1">
      <c r="A159" s="32" t="n"/>
      <c r="B159" s="32" t="n"/>
      <c r="C159" s="10" t="n"/>
      <c r="D159" s="10" t="n"/>
      <c r="E159" s="10" t="n"/>
      <c r="F159" s="33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32" t="n"/>
      <c r="P159" s="32" t="n"/>
      <c r="Q159" s="16">
        <f>IF(A159="","",IF(OR(COUNTIF($A$8:$A$207,A159)&lt;&gt;1,AND(B159&lt;&gt;"",COUNTIF('用胶项目'!$A$8:$A$207,B159)&lt;&gt;1),AND(O159&lt;&gt;"",COUNTIF('沟通记录'!$A$8:$A$207,O159)&lt;&gt;1)),"检查编号或关联","正常"))</f>
        <v/>
      </c>
    </row>
    <row r="160" ht="34" customHeight="1">
      <c r="A160" s="32" t="n"/>
      <c r="B160" s="32" t="n"/>
      <c r="C160" s="10" t="n"/>
      <c r="D160" s="10" t="n"/>
      <c r="E160" s="10" t="n"/>
      <c r="F160" s="33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32" t="n"/>
      <c r="P160" s="32" t="n"/>
      <c r="Q160" s="16">
        <f>IF(A160="","",IF(OR(COUNTIF($A$8:$A$207,A160)&lt;&gt;1,AND(B160&lt;&gt;"",COUNTIF('用胶项目'!$A$8:$A$207,B160)&lt;&gt;1),AND(O160&lt;&gt;"",COUNTIF('沟通记录'!$A$8:$A$207,O160)&lt;&gt;1)),"检查编号或关联","正常"))</f>
        <v/>
      </c>
    </row>
    <row r="161" ht="34" customHeight="1">
      <c r="A161" s="32" t="n"/>
      <c r="B161" s="32" t="n"/>
      <c r="C161" s="10" t="n"/>
      <c r="D161" s="10" t="n"/>
      <c r="E161" s="10" t="n"/>
      <c r="F161" s="33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32" t="n"/>
      <c r="P161" s="32" t="n"/>
      <c r="Q161" s="16">
        <f>IF(A161="","",IF(OR(COUNTIF($A$8:$A$207,A161)&lt;&gt;1,AND(B161&lt;&gt;"",COUNTIF('用胶项目'!$A$8:$A$207,B161)&lt;&gt;1),AND(O161&lt;&gt;"",COUNTIF('沟通记录'!$A$8:$A$207,O161)&lt;&gt;1)),"检查编号或关联","正常"))</f>
        <v/>
      </c>
    </row>
    <row r="162" ht="34" customHeight="1">
      <c r="A162" s="32" t="n"/>
      <c r="B162" s="32" t="n"/>
      <c r="C162" s="10" t="n"/>
      <c r="D162" s="10" t="n"/>
      <c r="E162" s="10" t="n"/>
      <c r="F162" s="33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32" t="n"/>
      <c r="P162" s="32" t="n"/>
      <c r="Q162" s="16">
        <f>IF(A162="","",IF(OR(COUNTIF($A$8:$A$207,A162)&lt;&gt;1,AND(B162&lt;&gt;"",COUNTIF('用胶项目'!$A$8:$A$207,B162)&lt;&gt;1),AND(O162&lt;&gt;"",COUNTIF('沟通记录'!$A$8:$A$207,O162)&lt;&gt;1)),"检查编号或关联","正常"))</f>
        <v/>
      </c>
    </row>
    <row r="163" ht="34" customHeight="1">
      <c r="A163" s="32" t="n"/>
      <c r="B163" s="32" t="n"/>
      <c r="C163" s="10" t="n"/>
      <c r="D163" s="10" t="n"/>
      <c r="E163" s="10" t="n"/>
      <c r="F163" s="33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32" t="n"/>
      <c r="P163" s="32" t="n"/>
      <c r="Q163" s="16">
        <f>IF(A163="","",IF(OR(COUNTIF($A$8:$A$207,A163)&lt;&gt;1,AND(B163&lt;&gt;"",COUNTIF('用胶项目'!$A$8:$A$207,B163)&lt;&gt;1),AND(O163&lt;&gt;"",COUNTIF('沟通记录'!$A$8:$A$207,O163)&lt;&gt;1)),"检查编号或关联","正常"))</f>
        <v/>
      </c>
    </row>
    <row r="164" ht="34" customHeight="1">
      <c r="A164" s="32" t="n"/>
      <c r="B164" s="32" t="n"/>
      <c r="C164" s="10" t="n"/>
      <c r="D164" s="10" t="n"/>
      <c r="E164" s="10" t="n"/>
      <c r="F164" s="33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32" t="n"/>
      <c r="P164" s="32" t="n"/>
      <c r="Q164" s="16">
        <f>IF(A164="","",IF(OR(COUNTIF($A$8:$A$207,A164)&lt;&gt;1,AND(B164&lt;&gt;"",COUNTIF('用胶项目'!$A$8:$A$207,B164)&lt;&gt;1),AND(O164&lt;&gt;"",COUNTIF('沟通记录'!$A$8:$A$207,O164)&lt;&gt;1)),"检查编号或关联","正常"))</f>
        <v/>
      </c>
    </row>
    <row r="165" ht="34" customHeight="1">
      <c r="A165" s="32" t="n"/>
      <c r="B165" s="32" t="n"/>
      <c r="C165" s="10" t="n"/>
      <c r="D165" s="10" t="n"/>
      <c r="E165" s="10" t="n"/>
      <c r="F165" s="33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32" t="n"/>
      <c r="P165" s="32" t="n"/>
      <c r="Q165" s="16">
        <f>IF(A165="","",IF(OR(COUNTIF($A$8:$A$207,A165)&lt;&gt;1,AND(B165&lt;&gt;"",COUNTIF('用胶项目'!$A$8:$A$207,B165)&lt;&gt;1),AND(O165&lt;&gt;"",COUNTIF('沟通记录'!$A$8:$A$207,O165)&lt;&gt;1)),"检查编号或关联","正常"))</f>
        <v/>
      </c>
    </row>
    <row r="166" ht="34" customHeight="1">
      <c r="A166" s="32" t="n"/>
      <c r="B166" s="32" t="n"/>
      <c r="C166" s="10" t="n"/>
      <c r="D166" s="10" t="n"/>
      <c r="E166" s="10" t="n"/>
      <c r="F166" s="33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32" t="n"/>
      <c r="P166" s="32" t="n"/>
      <c r="Q166" s="16">
        <f>IF(A166="","",IF(OR(COUNTIF($A$8:$A$207,A166)&lt;&gt;1,AND(B166&lt;&gt;"",COUNTIF('用胶项目'!$A$8:$A$207,B166)&lt;&gt;1),AND(O166&lt;&gt;"",COUNTIF('沟通记录'!$A$8:$A$207,O166)&lt;&gt;1)),"检查编号或关联","正常"))</f>
        <v/>
      </c>
    </row>
    <row r="167" ht="34" customHeight="1">
      <c r="A167" s="32" t="n"/>
      <c r="B167" s="32" t="n"/>
      <c r="C167" s="10" t="n"/>
      <c r="D167" s="10" t="n"/>
      <c r="E167" s="10" t="n"/>
      <c r="F167" s="33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32" t="n"/>
      <c r="P167" s="32" t="n"/>
      <c r="Q167" s="16">
        <f>IF(A167="","",IF(OR(COUNTIF($A$8:$A$207,A167)&lt;&gt;1,AND(B167&lt;&gt;"",COUNTIF('用胶项目'!$A$8:$A$207,B167)&lt;&gt;1),AND(O167&lt;&gt;"",COUNTIF('沟通记录'!$A$8:$A$207,O167)&lt;&gt;1)),"检查编号或关联","正常"))</f>
        <v/>
      </c>
    </row>
    <row r="168" ht="34" customHeight="1">
      <c r="A168" s="32" t="n"/>
      <c r="B168" s="32" t="n"/>
      <c r="C168" s="10" t="n"/>
      <c r="D168" s="10" t="n"/>
      <c r="E168" s="10" t="n"/>
      <c r="F168" s="33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32" t="n"/>
      <c r="P168" s="32" t="n"/>
      <c r="Q168" s="16">
        <f>IF(A168="","",IF(OR(COUNTIF($A$8:$A$207,A168)&lt;&gt;1,AND(B168&lt;&gt;"",COUNTIF('用胶项目'!$A$8:$A$207,B168)&lt;&gt;1),AND(O168&lt;&gt;"",COUNTIF('沟通记录'!$A$8:$A$207,O168)&lt;&gt;1)),"检查编号或关联","正常"))</f>
        <v/>
      </c>
    </row>
    <row r="169" ht="34" customHeight="1">
      <c r="A169" s="32" t="n"/>
      <c r="B169" s="32" t="n"/>
      <c r="C169" s="10" t="n"/>
      <c r="D169" s="10" t="n"/>
      <c r="E169" s="10" t="n"/>
      <c r="F169" s="33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32" t="n"/>
      <c r="P169" s="32" t="n"/>
      <c r="Q169" s="16">
        <f>IF(A169="","",IF(OR(COUNTIF($A$8:$A$207,A169)&lt;&gt;1,AND(B169&lt;&gt;"",COUNTIF('用胶项目'!$A$8:$A$207,B169)&lt;&gt;1),AND(O169&lt;&gt;"",COUNTIF('沟通记录'!$A$8:$A$207,O169)&lt;&gt;1)),"检查编号或关联","正常"))</f>
        <v/>
      </c>
    </row>
    <row r="170" ht="34" customHeight="1">
      <c r="A170" s="32" t="n"/>
      <c r="B170" s="32" t="n"/>
      <c r="C170" s="10" t="n"/>
      <c r="D170" s="10" t="n"/>
      <c r="E170" s="10" t="n"/>
      <c r="F170" s="33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32" t="n"/>
      <c r="P170" s="32" t="n"/>
      <c r="Q170" s="16">
        <f>IF(A170="","",IF(OR(COUNTIF($A$8:$A$207,A170)&lt;&gt;1,AND(B170&lt;&gt;"",COUNTIF('用胶项目'!$A$8:$A$207,B170)&lt;&gt;1),AND(O170&lt;&gt;"",COUNTIF('沟通记录'!$A$8:$A$207,O170)&lt;&gt;1)),"检查编号或关联","正常"))</f>
        <v/>
      </c>
    </row>
    <row r="171" ht="34" customHeight="1">
      <c r="A171" s="32" t="n"/>
      <c r="B171" s="32" t="n"/>
      <c r="C171" s="10" t="n"/>
      <c r="D171" s="10" t="n"/>
      <c r="E171" s="10" t="n"/>
      <c r="F171" s="33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32" t="n"/>
      <c r="P171" s="32" t="n"/>
      <c r="Q171" s="16">
        <f>IF(A171="","",IF(OR(COUNTIF($A$8:$A$207,A171)&lt;&gt;1,AND(B171&lt;&gt;"",COUNTIF('用胶项目'!$A$8:$A$207,B171)&lt;&gt;1),AND(O171&lt;&gt;"",COUNTIF('沟通记录'!$A$8:$A$207,O171)&lt;&gt;1)),"检查编号或关联","正常"))</f>
        <v/>
      </c>
    </row>
    <row r="172" ht="34" customHeight="1">
      <c r="A172" s="32" t="n"/>
      <c r="B172" s="32" t="n"/>
      <c r="C172" s="10" t="n"/>
      <c r="D172" s="10" t="n"/>
      <c r="E172" s="10" t="n"/>
      <c r="F172" s="33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32" t="n"/>
      <c r="P172" s="32" t="n"/>
      <c r="Q172" s="16">
        <f>IF(A172="","",IF(OR(COUNTIF($A$8:$A$207,A172)&lt;&gt;1,AND(B172&lt;&gt;"",COUNTIF('用胶项目'!$A$8:$A$207,B172)&lt;&gt;1),AND(O172&lt;&gt;"",COUNTIF('沟通记录'!$A$8:$A$207,O172)&lt;&gt;1)),"检查编号或关联","正常"))</f>
        <v/>
      </c>
    </row>
    <row r="173" ht="34" customHeight="1">
      <c r="A173" s="32" t="n"/>
      <c r="B173" s="32" t="n"/>
      <c r="C173" s="10" t="n"/>
      <c r="D173" s="10" t="n"/>
      <c r="E173" s="10" t="n"/>
      <c r="F173" s="33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32" t="n"/>
      <c r="P173" s="32" t="n"/>
      <c r="Q173" s="16">
        <f>IF(A173="","",IF(OR(COUNTIF($A$8:$A$207,A173)&lt;&gt;1,AND(B173&lt;&gt;"",COUNTIF('用胶项目'!$A$8:$A$207,B173)&lt;&gt;1),AND(O173&lt;&gt;"",COUNTIF('沟通记录'!$A$8:$A$207,O173)&lt;&gt;1)),"检查编号或关联","正常"))</f>
        <v/>
      </c>
    </row>
    <row r="174" ht="34" customHeight="1">
      <c r="A174" s="32" t="n"/>
      <c r="B174" s="32" t="n"/>
      <c r="C174" s="10" t="n"/>
      <c r="D174" s="10" t="n"/>
      <c r="E174" s="10" t="n"/>
      <c r="F174" s="33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32" t="n"/>
      <c r="P174" s="32" t="n"/>
      <c r="Q174" s="16">
        <f>IF(A174="","",IF(OR(COUNTIF($A$8:$A$207,A174)&lt;&gt;1,AND(B174&lt;&gt;"",COUNTIF('用胶项目'!$A$8:$A$207,B174)&lt;&gt;1),AND(O174&lt;&gt;"",COUNTIF('沟通记录'!$A$8:$A$207,O174)&lt;&gt;1)),"检查编号或关联","正常"))</f>
        <v/>
      </c>
    </row>
    <row r="175" ht="34" customHeight="1">
      <c r="A175" s="32" t="n"/>
      <c r="B175" s="32" t="n"/>
      <c r="C175" s="10" t="n"/>
      <c r="D175" s="10" t="n"/>
      <c r="E175" s="10" t="n"/>
      <c r="F175" s="33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32" t="n"/>
      <c r="P175" s="32" t="n"/>
      <c r="Q175" s="16">
        <f>IF(A175="","",IF(OR(COUNTIF($A$8:$A$207,A175)&lt;&gt;1,AND(B175&lt;&gt;"",COUNTIF('用胶项目'!$A$8:$A$207,B175)&lt;&gt;1),AND(O175&lt;&gt;"",COUNTIF('沟通记录'!$A$8:$A$207,O175)&lt;&gt;1)),"检查编号或关联","正常"))</f>
        <v/>
      </c>
    </row>
    <row r="176" ht="34" customHeight="1">
      <c r="A176" s="32" t="n"/>
      <c r="B176" s="32" t="n"/>
      <c r="C176" s="10" t="n"/>
      <c r="D176" s="10" t="n"/>
      <c r="E176" s="10" t="n"/>
      <c r="F176" s="33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32" t="n"/>
      <c r="P176" s="32" t="n"/>
      <c r="Q176" s="16">
        <f>IF(A176="","",IF(OR(COUNTIF($A$8:$A$207,A176)&lt;&gt;1,AND(B176&lt;&gt;"",COUNTIF('用胶项目'!$A$8:$A$207,B176)&lt;&gt;1),AND(O176&lt;&gt;"",COUNTIF('沟通记录'!$A$8:$A$207,O176)&lt;&gt;1)),"检查编号或关联","正常"))</f>
        <v/>
      </c>
    </row>
    <row r="177" ht="34" customHeight="1">
      <c r="A177" s="32" t="n"/>
      <c r="B177" s="32" t="n"/>
      <c r="C177" s="10" t="n"/>
      <c r="D177" s="10" t="n"/>
      <c r="E177" s="10" t="n"/>
      <c r="F177" s="33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32" t="n"/>
      <c r="P177" s="32" t="n"/>
      <c r="Q177" s="16">
        <f>IF(A177="","",IF(OR(COUNTIF($A$8:$A$207,A177)&lt;&gt;1,AND(B177&lt;&gt;"",COUNTIF('用胶项目'!$A$8:$A$207,B177)&lt;&gt;1),AND(O177&lt;&gt;"",COUNTIF('沟通记录'!$A$8:$A$207,O177)&lt;&gt;1)),"检查编号或关联","正常"))</f>
        <v/>
      </c>
    </row>
    <row r="178" ht="34" customHeight="1">
      <c r="A178" s="32" t="n"/>
      <c r="B178" s="32" t="n"/>
      <c r="C178" s="10" t="n"/>
      <c r="D178" s="10" t="n"/>
      <c r="E178" s="10" t="n"/>
      <c r="F178" s="33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32" t="n"/>
      <c r="P178" s="32" t="n"/>
      <c r="Q178" s="16">
        <f>IF(A178="","",IF(OR(COUNTIF($A$8:$A$207,A178)&lt;&gt;1,AND(B178&lt;&gt;"",COUNTIF('用胶项目'!$A$8:$A$207,B178)&lt;&gt;1),AND(O178&lt;&gt;"",COUNTIF('沟通记录'!$A$8:$A$207,O178)&lt;&gt;1)),"检查编号或关联","正常"))</f>
        <v/>
      </c>
    </row>
    <row r="179" ht="34" customHeight="1">
      <c r="A179" s="32" t="n"/>
      <c r="B179" s="32" t="n"/>
      <c r="C179" s="10" t="n"/>
      <c r="D179" s="10" t="n"/>
      <c r="E179" s="10" t="n"/>
      <c r="F179" s="33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32" t="n"/>
      <c r="P179" s="32" t="n"/>
      <c r="Q179" s="16">
        <f>IF(A179="","",IF(OR(COUNTIF($A$8:$A$207,A179)&lt;&gt;1,AND(B179&lt;&gt;"",COUNTIF('用胶项目'!$A$8:$A$207,B179)&lt;&gt;1),AND(O179&lt;&gt;"",COUNTIF('沟通记录'!$A$8:$A$207,O179)&lt;&gt;1)),"检查编号或关联","正常"))</f>
        <v/>
      </c>
    </row>
    <row r="180" ht="34" customHeight="1">
      <c r="A180" s="32" t="n"/>
      <c r="B180" s="32" t="n"/>
      <c r="C180" s="10" t="n"/>
      <c r="D180" s="10" t="n"/>
      <c r="E180" s="10" t="n"/>
      <c r="F180" s="33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32" t="n"/>
      <c r="P180" s="32" t="n"/>
      <c r="Q180" s="16">
        <f>IF(A180="","",IF(OR(COUNTIF($A$8:$A$207,A180)&lt;&gt;1,AND(B180&lt;&gt;"",COUNTIF('用胶项目'!$A$8:$A$207,B180)&lt;&gt;1),AND(O180&lt;&gt;"",COUNTIF('沟通记录'!$A$8:$A$207,O180)&lt;&gt;1)),"检查编号或关联","正常"))</f>
        <v/>
      </c>
    </row>
    <row r="181" ht="34" customHeight="1">
      <c r="A181" s="32" t="n"/>
      <c r="B181" s="32" t="n"/>
      <c r="C181" s="10" t="n"/>
      <c r="D181" s="10" t="n"/>
      <c r="E181" s="10" t="n"/>
      <c r="F181" s="33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32" t="n"/>
      <c r="P181" s="32" t="n"/>
      <c r="Q181" s="16">
        <f>IF(A181="","",IF(OR(COUNTIF($A$8:$A$207,A181)&lt;&gt;1,AND(B181&lt;&gt;"",COUNTIF('用胶项目'!$A$8:$A$207,B181)&lt;&gt;1),AND(O181&lt;&gt;"",COUNTIF('沟通记录'!$A$8:$A$207,O181)&lt;&gt;1)),"检查编号或关联","正常"))</f>
        <v/>
      </c>
    </row>
    <row r="182" ht="34" customHeight="1">
      <c r="A182" s="32" t="n"/>
      <c r="B182" s="32" t="n"/>
      <c r="C182" s="10" t="n"/>
      <c r="D182" s="10" t="n"/>
      <c r="E182" s="10" t="n"/>
      <c r="F182" s="33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32" t="n"/>
      <c r="P182" s="32" t="n"/>
      <c r="Q182" s="16">
        <f>IF(A182="","",IF(OR(COUNTIF($A$8:$A$207,A182)&lt;&gt;1,AND(B182&lt;&gt;"",COUNTIF('用胶项目'!$A$8:$A$207,B182)&lt;&gt;1),AND(O182&lt;&gt;"",COUNTIF('沟通记录'!$A$8:$A$207,O182)&lt;&gt;1)),"检查编号或关联","正常"))</f>
        <v/>
      </c>
    </row>
    <row r="183" ht="34" customHeight="1">
      <c r="A183" s="32" t="n"/>
      <c r="B183" s="32" t="n"/>
      <c r="C183" s="10" t="n"/>
      <c r="D183" s="10" t="n"/>
      <c r="E183" s="10" t="n"/>
      <c r="F183" s="33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32" t="n"/>
      <c r="P183" s="32" t="n"/>
      <c r="Q183" s="16">
        <f>IF(A183="","",IF(OR(COUNTIF($A$8:$A$207,A183)&lt;&gt;1,AND(B183&lt;&gt;"",COUNTIF('用胶项目'!$A$8:$A$207,B183)&lt;&gt;1),AND(O183&lt;&gt;"",COUNTIF('沟通记录'!$A$8:$A$207,O183)&lt;&gt;1)),"检查编号或关联","正常"))</f>
        <v/>
      </c>
    </row>
    <row r="184" ht="34" customHeight="1">
      <c r="A184" s="32" t="n"/>
      <c r="B184" s="32" t="n"/>
      <c r="C184" s="10" t="n"/>
      <c r="D184" s="10" t="n"/>
      <c r="E184" s="10" t="n"/>
      <c r="F184" s="33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32" t="n"/>
      <c r="P184" s="32" t="n"/>
      <c r="Q184" s="16">
        <f>IF(A184="","",IF(OR(COUNTIF($A$8:$A$207,A184)&lt;&gt;1,AND(B184&lt;&gt;"",COUNTIF('用胶项目'!$A$8:$A$207,B184)&lt;&gt;1),AND(O184&lt;&gt;"",COUNTIF('沟通记录'!$A$8:$A$207,O184)&lt;&gt;1)),"检查编号或关联","正常"))</f>
        <v/>
      </c>
    </row>
    <row r="185" ht="34" customHeight="1">
      <c r="A185" s="32" t="n"/>
      <c r="B185" s="32" t="n"/>
      <c r="C185" s="10" t="n"/>
      <c r="D185" s="10" t="n"/>
      <c r="E185" s="10" t="n"/>
      <c r="F185" s="33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32" t="n"/>
      <c r="P185" s="32" t="n"/>
      <c r="Q185" s="16">
        <f>IF(A185="","",IF(OR(COUNTIF($A$8:$A$207,A185)&lt;&gt;1,AND(B185&lt;&gt;"",COUNTIF('用胶项目'!$A$8:$A$207,B185)&lt;&gt;1),AND(O185&lt;&gt;"",COUNTIF('沟通记录'!$A$8:$A$207,O185)&lt;&gt;1)),"检查编号或关联","正常"))</f>
        <v/>
      </c>
    </row>
    <row r="186" ht="34" customHeight="1">
      <c r="A186" s="32" t="n"/>
      <c r="B186" s="32" t="n"/>
      <c r="C186" s="10" t="n"/>
      <c r="D186" s="10" t="n"/>
      <c r="E186" s="10" t="n"/>
      <c r="F186" s="33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32" t="n"/>
      <c r="P186" s="32" t="n"/>
      <c r="Q186" s="16">
        <f>IF(A186="","",IF(OR(COUNTIF($A$8:$A$207,A186)&lt;&gt;1,AND(B186&lt;&gt;"",COUNTIF('用胶项目'!$A$8:$A$207,B186)&lt;&gt;1),AND(O186&lt;&gt;"",COUNTIF('沟通记录'!$A$8:$A$207,O186)&lt;&gt;1)),"检查编号或关联","正常"))</f>
        <v/>
      </c>
    </row>
    <row r="187" ht="34" customHeight="1">
      <c r="A187" s="32" t="n"/>
      <c r="B187" s="32" t="n"/>
      <c r="C187" s="10" t="n"/>
      <c r="D187" s="10" t="n"/>
      <c r="E187" s="10" t="n"/>
      <c r="F187" s="33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32" t="n"/>
      <c r="P187" s="32" t="n"/>
      <c r="Q187" s="16">
        <f>IF(A187="","",IF(OR(COUNTIF($A$8:$A$207,A187)&lt;&gt;1,AND(B187&lt;&gt;"",COUNTIF('用胶项目'!$A$8:$A$207,B187)&lt;&gt;1),AND(O187&lt;&gt;"",COUNTIF('沟通记录'!$A$8:$A$207,O187)&lt;&gt;1)),"检查编号或关联","正常"))</f>
        <v/>
      </c>
    </row>
    <row r="188" ht="34" customHeight="1">
      <c r="A188" s="32" t="n"/>
      <c r="B188" s="32" t="n"/>
      <c r="C188" s="10" t="n"/>
      <c r="D188" s="10" t="n"/>
      <c r="E188" s="10" t="n"/>
      <c r="F188" s="33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32" t="n"/>
      <c r="P188" s="32" t="n"/>
      <c r="Q188" s="16">
        <f>IF(A188="","",IF(OR(COUNTIF($A$8:$A$207,A188)&lt;&gt;1,AND(B188&lt;&gt;"",COUNTIF('用胶项目'!$A$8:$A$207,B188)&lt;&gt;1),AND(O188&lt;&gt;"",COUNTIF('沟通记录'!$A$8:$A$207,O188)&lt;&gt;1)),"检查编号或关联","正常"))</f>
        <v/>
      </c>
    </row>
    <row r="189" ht="34" customHeight="1">
      <c r="A189" s="32" t="n"/>
      <c r="B189" s="32" t="n"/>
      <c r="C189" s="10" t="n"/>
      <c r="D189" s="10" t="n"/>
      <c r="E189" s="10" t="n"/>
      <c r="F189" s="33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32" t="n"/>
      <c r="P189" s="32" t="n"/>
      <c r="Q189" s="16">
        <f>IF(A189="","",IF(OR(COUNTIF($A$8:$A$207,A189)&lt;&gt;1,AND(B189&lt;&gt;"",COUNTIF('用胶项目'!$A$8:$A$207,B189)&lt;&gt;1),AND(O189&lt;&gt;"",COUNTIF('沟通记录'!$A$8:$A$207,O189)&lt;&gt;1)),"检查编号或关联","正常"))</f>
        <v/>
      </c>
    </row>
    <row r="190" ht="34" customHeight="1">
      <c r="A190" s="32" t="n"/>
      <c r="B190" s="32" t="n"/>
      <c r="C190" s="10" t="n"/>
      <c r="D190" s="10" t="n"/>
      <c r="E190" s="10" t="n"/>
      <c r="F190" s="33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32" t="n"/>
      <c r="P190" s="32" t="n"/>
      <c r="Q190" s="16">
        <f>IF(A190="","",IF(OR(COUNTIF($A$8:$A$207,A190)&lt;&gt;1,AND(B190&lt;&gt;"",COUNTIF('用胶项目'!$A$8:$A$207,B190)&lt;&gt;1),AND(O190&lt;&gt;"",COUNTIF('沟通记录'!$A$8:$A$207,O190)&lt;&gt;1)),"检查编号或关联","正常"))</f>
        <v/>
      </c>
    </row>
    <row r="191" ht="34" customHeight="1">
      <c r="A191" s="32" t="n"/>
      <c r="B191" s="32" t="n"/>
      <c r="C191" s="10" t="n"/>
      <c r="D191" s="10" t="n"/>
      <c r="E191" s="10" t="n"/>
      <c r="F191" s="33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32" t="n"/>
      <c r="P191" s="32" t="n"/>
      <c r="Q191" s="16">
        <f>IF(A191="","",IF(OR(COUNTIF($A$8:$A$207,A191)&lt;&gt;1,AND(B191&lt;&gt;"",COUNTIF('用胶项目'!$A$8:$A$207,B191)&lt;&gt;1),AND(O191&lt;&gt;"",COUNTIF('沟通记录'!$A$8:$A$207,O191)&lt;&gt;1)),"检查编号或关联","正常"))</f>
        <v/>
      </c>
    </row>
    <row r="192" ht="34" customHeight="1">
      <c r="A192" s="32" t="n"/>
      <c r="B192" s="32" t="n"/>
      <c r="C192" s="10" t="n"/>
      <c r="D192" s="10" t="n"/>
      <c r="E192" s="10" t="n"/>
      <c r="F192" s="33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32" t="n"/>
      <c r="P192" s="32" t="n"/>
      <c r="Q192" s="16">
        <f>IF(A192="","",IF(OR(COUNTIF($A$8:$A$207,A192)&lt;&gt;1,AND(B192&lt;&gt;"",COUNTIF('用胶项目'!$A$8:$A$207,B192)&lt;&gt;1),AND(O192&lt;&gt;"",COUNTIF('沟通记录'!$A$8:$A$207,O192)&lt;&gt;1)),"检查编号或关联","正常"))</f>
        <v/>
      </c>
    </row>
    <row r="193" ht="34" customHeight="1">
      <c r="A193" s="32" t="n"/>
      <c r="B193" s="32" t="n"/>
      <c r="C193" s="10" t="n"/>
      <c r="D193" s="10" t="n"/>
      <c r="E193" s="10" t="n"/>
      <c r="F193" s="33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32" t="n"/>
      <c r="P193" s="32" t="n"/>
      <c r="Q193" s="16">
        <f>IF(A193="","",IF(OR(COUNTIF($A$8:$A$207,A193)&lt;&gt;1,AND(B193&lt;&gt;"",COUNTIF('用胶项目'!$A$8:$A$207,B193)&lt;&gt;1),AND(O193&lt;&gt;"",COUNTIF('沟通记录'!$A$8:$A$207,O193)&lt;&gt;1)),"检查编号或关联","正常"))</f>
        <v/>
      </c>
    </row>
    <row r="194" ht="34" customHeight="1">
      <c r="A194" s="32" t="n"/>
      <c r="B194" s="32" t="n"/>
      <c r="C194" s="10" t="n"/>
      <c r="D194" s="10" t="n"/>
      <c r="E194" s="10" t="n"/>
      <c r="F194" s="33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32" t="n"/>
      <c r="P194" s="32" t="n"/>
      <c r="Q194" s="16">
        <f>IF(A194="","",IF(OR(COUNTIF($A$8:$A$207,A194)&lt;&gt;1,AND(B194&lt;&gt;"",COUNTIF('用胶项目'!$A$8:$A$207,B194)&lt;&gt;1),AND(O194&lt;&gt;"",COUNTIF('沟通记录'!$A$8:$A$207,O194)&lt;&gt;1)),"检查编号或关联","正常"))</f>
        <v/>
      </c>
    </row>
    <row r="195" ht="34" customHeight="1">
      <c r="A195" s="32" t="n"/>
      <c r="B195" s="32" t="n"/>
      <c r="C195" s="10" t="n"/>
      <c r="D195" s="10" t="n"/>
      <c r="E195" s="10" t="n"/>
      <c r="F195" s="33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32" t="n"/>
      <c r="P195" s="32" t="n"/>
      <c r="Q195" s="16">
        <f>IF(A195="","",IF(OR(COUNTIF($A$8:$A$207,A195)&lt;&gt;1,AND(B195&lt;&gt;"",COUNTIF('用胶项目'!$A$8:$A$207,B195)&lt;&gt;1),AND(O195&lt;&gt;"",COUNTIF('沟通记录'!$A$8:$A$207,O195)&lt;&gt;1)),"检查编号或关联","正常"))</f>
        <v/>
      </c>
    </row>
    <row r="196" ht="34" customHeight="1">
      <c r="A196" s="32" t="n"/>
      <c r="B196" s="32" t="n"/>
      <c r="C196" s="10" t="n"/>
      <c r="D196" s="10" t="n"/>
      <c r="E196" s="10" t="n"/>
      <c r="F196" s="33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32" t="n"/>
      <c r="P196" s="32" t="n"/>
      <c r="Q196" s="16">
        <f>IF(A196="","",IF(OR(COUNTIF($A$8:$A$207,A196)&lt;&gt;1,AND(B196&lt;&gt;"",COUNTIF('用胶项目'!$A$8:$A$207,B196)&lt;&gt;1),AND(O196&lt;&gt;"",COUNTIF('沟通记录'!$A$8:$A$207,O196)&lt;&gt;1)),"检查编号或关联","正常"))</f>
        <v/>
      </c>
    </row>
    <row r="197" ht="34" customHeight="1">
      <c r="A197" s="32" t="n"/>
      <c r="B197" s="32" t="n"/>
      <c r="C197" s="10" t="n"/>
      <c r="D197" s="10" t="n"/>
      <c r="E197" s="10" t="n"/>
      <c r="F197" s="33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32" t="n"/>
      <c r="P197" s="32" t="n"/>
      <c r="Q197" s="16">
        <f>IF(A197="","",IF(OR(COUNTIF($A$8:$A$207,A197)&lt;&gt;1,AND(B197&lt;&gt;"",COUNTIF('用胶项目'!$A$8:$A$207,B197)&lt;&gt;1),AND(O197&lt;&gt;"",COUNTIF('沟通记录'!$A$8:$A$207,O197)&lt;&gt;1)),"检查编号或关联","正常"))</f>
        <v/>
      </c>
    </row>
    <row r="198" ht="34" customHeight="1">
      <c r="A198" s="32" t="n"/>
      <c r="B198" s="32" t="n"/>
      <c r="C198" s="10" t="n"/>
      <c r="D198" s="10" t="n"/>
      <c r="E198" s="10" t="n"/>
      <c r="F198" s="33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32" t="n"/>
      <c r="P198" s="32" t="n"/>
      <c r="Q198" s="16">
        <f>IF(A198="","",IF(OR(COUNTIF($A$8:$A$207,A198)&lt;&gt;1,AND(B198&lt;&gt;"",COUNTIF('用胶项目'!$A$8:$A$207,B198)&lt;&gt;1),AND(O198&lt;&gt;"",COUNTIF('沟通记录'!$A$8:$A$207,O198)&lt;&gt;1)),"检查编号或关联","正常"))</f>
        <v/>
      </c>
    </row>
    <row r="199" ht="34" customHeight="1">
      <c r="A199" s="32" t="n"/>
      <c r="B199" s="32" t="n"/>
      <c r="C199" s="10" t="n"/>
      <c r="D199" s="10" t="n"/>
      <c r="E199" s="10" t="n"/>
      <c r="F199" s="33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32" t="n"/>
      <c r="P199" s="32" t="n"/>
      <c r="Q199" s="16">
        <f>IF(A199="","",IF(OR(COUNTIF($A$8:$A$207,A199)&lt;&gt;1,AND(B199&lt;&gt;"",COUNTIF('用胶项目'!$A$8:$A$207,B199)&lt;&gt;1),AND(O199&lt;&gt;"",COUNTIF('沟通记录'!$A$8:$A$207,O199)&lt;&gt;1)),"检查编号或关联","正常"))</f>
        <v/>
      </c>
    </row>
    <row r="200" ht="34" customHeight="1">
      <c r="A200" s="32" t="n"/>
      <c r="B200" s="32" t="n"/>
      <c r="C200" s="10" t="n"/>
      <c r="D200" s="10" t="n"/>
      <c r="E200" s="10" t="n"/>
      <c r="F200" s="33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32" t="n"/>
      <c r="P200" s="32" t="n"/>
      <c r="Q200" s="16">
        <f>IF(A200="","",IF(OR(COUNTIF($A$8:$A$207,A200)&lt;&gt;1,AND(B200&lt;&gt;"",COUNTIF('用胶项目'!$A$8:$A$207,B200)&lt;&gt;1),AND(O200&lt;&gt;"",COUNTIF('沟通记录'!$A$8:$A$207,O200)&lt;&gt;1)),"检查编号或关联","正常"))</f>
        <v/>
      </c>
    </row>
    <row r="201" ht="34" customHeight="1">
      <c r="A201" s="32" t="n"/>
      <c r="B201" s="32" t="n"/>
      <c r="C201" s="10" t="n"/>
      <c r="D201" s="10" t="n"/>
      <c r="E201" s="10" t="n"/>
      <c r="F201" s="33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32" t="n"/>
      <c r="P201" s="32" t="n"/>
      <c r="Q201" s="16">
        <f>IF(A201="","",IF(OR(COUNTIF($A$8:$A$207,A201)&lt;&gt;1,AND(B201&lt;&gt;"",COUNTIF('用胶项目'!$A$8:$A$207,B201)&lt;&gt;1),AND(O201&lt;&gt;"",COUNTIF('沟通记录'!$A$8:$A$207,O201)&lt;&gt;1)),"检查编号或关联","正常"))</f>
        <v/>
      </c>
    </row>
    <row r="202" ht="34" customHeight="1">
      <c r="A202" s="32" t="n"/>
      <c r="B202" s="32" t="n"/>
      <c r="C202" s="10" t="n"/>
      <c r="D202" s="10" t="n"/>
      <c r="E202" s="10" t="n"/>
      <c r="F202" s="33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32" t="n"/>
      <c r="P202" s="32" t="n"/>
      <c r="Q202" s="16">
        <f>IF(A202="","",IF(OR(COUNTIF($A$8:$A$207,A202)&lt;&gt;1,AND(B202&lt;&gt;"",COUNTIF('用胶项目'!$A$8:$A$207,B202)&lt;&gt;1),AND(O202&lt;&gt;"",COUNTIF('沟通记录'!$A$8:$A$207,O202)&lt;&gt;1)),"检查编号或关联","正常"))</f>
        <v/>
      </c>
    </row>
    <row r="203" ht="34" customHeight="1">
      <c r="A203" s="32" t="n"/>
      <c r="B203" s="32" t="n"/>
      <c r="C203" s="10" t="n"/>
      <c r="D203" s="10" t="n"/>
      <c r="E203" s="10" t="n"/>
      <c r="F203" s="33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32" t="n"/>
      <c r="P203" s="32" t="n"/>
      <c r="Q203" s="16">
        <f>IF(A203="","",IF(OR(COUNTIF($A$8:$A$207,A203)&lt;&gt;1,AND(B203&lt;&gt;"",COUNTIF('用胶项目'!$A$8:$A$207,B203)&lt;&gt;1),AND(O203&lt;&gt;"",COUNTIF('沟通记录'!$A$8:$A$207,O203)&lt;&gt;1)),"检查编号或关联","正常"))</f>
        <v/>
      </c>
    </row>
    <row r="204" ht="34" customHeight="1">
      <c r="A204" s="32" t="n"/>
      <c r="B204" s="32" t="n"/>
      <c r="C204" s="10" t="n"/>
      <c r="D204" s="10" t="n"/>
      <c r="E204" s="10" t="n"/>
      <c r="F204" s="33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32" t="n"/>
      <c r="P204" s="32" t="n"/>
      <c r="Q204" s="16">
        <f>IF(A204="","",IF(OR(COUNTIF($A$8:$A$207,A204)&lt;&gt;1,AND(B204&lt;&gt;"",COUNTIF('用胶项目'!$A$8:$A$207,B204)&lt;&gt;1),AND(O204&lt;&gt;"",COUNTIF('沟通记录'!$A$8:$A$207,O204)&lt;&gt;1)),"检查编号或关联","正常"))</f>
        <v/>
      </c>
    </row>
    <row r="205" ht="34" customHeight="1">
      <c r="A205" s="32" t="n"/>
      <c r="B205" s="32" t="n"/>
      <c r="C205" s="10" t="n"/>
      <c r="D205" s="10" t="n"/>
      <c r="E205" s="10" t="n"/>
      <c r="F205" s="33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32" t="n"/>
      <c r="P205" s="32" t="n"/>
      <c r="Q205" s="16">
        <f>IF(A205="","",IF(OR(COUNTIF($A$8:$A$207,A205)&lt;&gt;1,AND(B205&lt;&gt;"",COUNTIF('用胶项目'!$A$8:$A$207,B205)&lt;&gt;1),AND(O205&lt;&gt;"",COUNTIF('沟通记录'!$A$8:$A$207,O205)&lt;&gt;1)),"检查编号或关联","正常"))</f>
        <v/>
      </c>
    </row>
    <row r="206" ht="34" customHeight="1">
      <c r="A206" s="32" t="n"/>
      <c r="B206" s="32" t="n"/>
      <c r="C206" s="10" t="n"/>
      <c r="D206" s="10" t="n"/>
      <c r="E206" s="10" t="n"/>
      <c r="F206" s="33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32" t="n"/>
      <c r="P206" s="32" t="n"/>
      <c r="Q206" s="16">
        <f>IF(A206="","",IF(OR(COUNTIF($A$8:$A$207,A206)&lt;&gt;1,AND(B206&lt;&gt;"",COUNTIF('用胶项目'!$A$8:$A$207,B206)&lt;&gt;1),AND(O206&lt;&gt;"",COUNTIF('沟通记录'!$A$8:$A$207,O206)&lt;&gt;1)),"检查编号或关联","正常"))</f>
        <v/>
      </c>
    </row>
    <row r="207" ht="34" customHeight="1">
      <c r="A207" s="32" t="n"/>
      <c r="B207" s="32" t="n"/>
      <c r="C207" s="10" t="n"/>
      <c r="D207" s="10" t="n"/>
      <c r="E207" s="10" t="n"/>
      <c r="F207" s="33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32" t="n"/>
      <c r="P207" s="32" t="n"/>
      <c r="Q207" s="16">
        <f>IF(A207="","",IF(OR(COUNTIF($A$8:$A$207,A207)&lt;&gt;1,AND(B207&lt;&gt;"",COUNTIF('用胶项目'!$A$8:$A$207,B207)&lt;&gt;1),AND(O207&lt;&gt;"",COUNTIF('沟通记录'!$A$8:$A$207,O207)&lt;&gt;1)),"检查编号或关联","正常"))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Q8:Q207">
    <cfRule type="containsText" priority="2" operator="containsText" dxfId="0" text="检查"/>
  </conditionalFormatting>
  <dataValidations count="1">
    <dataValidation sqref="M8:M207" showDropDown="0" showInputMessage="0" showErrorMessage="0" allowBlank="0" type="list">
      <formula1>"待答复,同事经验,正式资料已核对,客户测试支持,存在冲突待核,已失效"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8297AA"/>
    <outlinePr summaryBelow="1" summaryRight="1"/>
    <pageSetUpPr/>
  </sheetPr>
  <dimension ref="A1:N207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19" customWidth="1" min="11" max="11"/>
    <col width="36" customWidth="1" min="12" max="12"/>
    <col width="36" customWidth="1" min="13" max="13"/>
    <col width="19" customWidth="1" min="14" max="14"/>
  </cols>
  <sheetData>
    <row r="1" ht="3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4" t="inlineStr">
        <is>
          <t>每日复盘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4" customHeight="1">
      <c r="A3" s="5" t="inlineStr">
        <is>
          <t>一天一行，只抓1至3项改进；个人表现只依据自己的发言，旁听记录团队学习。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4" customHeight="1">
      <c r="A4" s="6" t="inlineStr">
        <is>
          <t>第5行为虚构格式示例；正式数据从第8行填写。浅灰列为公式，请勿覆盖。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00" customHeight="1">
      <c r="A5" s="7" t="inlineStr">
        <is>
          <t>D示例001</t>
        </is>
      </c>
      <c r="B5" s="29" t="n">
        <v>46310</v>
      </c>
      <c r="C5" s="7" t="inlineStr">
        <is>
          <t>V示例001</t>
        </is>
      </c>
      <c r="D5" s="7" t="inlineStr">
        <is>
          <t>获得了解方案的意愿；未取得测试承诺</t>
        </is>
      </c>
      <c r="E5" s="7" t="inlineStr">
        <is>
          <t>应用条件不完整</t>
        </is>
      </c>
      <c r="F5" s="7" t="inlineStr">
        <is>
          <t>先问应用条件</t>
        </is>
      </c>
      <c r="G5" s="7" t="inlineStr">
        <is>
          <t>未确认测试标准〔虚构场景〕</t>
        </is>
      </c>
      <c r="H5" s="7" t="inlineStr">
        <is>
          <t>这次测试达到什么结果才算通过？</t>
        </is>
      </c>
      <c r="I5" s="7" t="inlineStr">
        <is>
          <t>AI示例，暂无对应课程依据</t>
        </is>
      </c>
      <c r="J5" s="7" t="inlineStr">
        <is>
          <t>确认测试条件</t>
        </is>
      </c>
      <c r="K5" s="7" t="inlineStr">
        <is>
          <t>T示例001</t>
        </is>
      </c>
      <c r="L5" s="7" t="inlineStr">
        <is>
          <t>练一次需求确认；能复述条件并请客户确认</t>
        </is>
      </c>
      <c r="M5" s="7" t="inlineStr">
        <is>
          <t>未执行</t>
        </is>
      </c>
      <c r="N5" s="7" t="inlineStr">
        <is>
          <t>示例</t>
        </is>
      </c>
    </row>
    <row r="6" ht="34" customHeight="1">
      <c r="A6" s="3" t="n"/>
      <c r="B6" s="30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42" customHeight="1">
      <c r="A7" s="9" t="inlineStr">
        <is>
          <t>复盘编号</t>
        </is>
      </c>
      <c r="B7" s="31" t="inlineStr">
        <is>
          <t>日期</t>
        </is>
      </c>
      <c r="C7" s="9" t="inlineStr">
        <is>
          <t>相关沟通编号</t>
        </is>
      </c>
      <c r="D7" s="9" t="inlineStr">
        <is>
          <t>今天推进了什么及证据</t>
        </is>
      </c>
      <c r="E7" s="9" t="inlineStr">
        <is>
          <t>未完成或卡点</t>
        </is>
      </c>
      <c r="F7" s="9" t="inlineStr">
        <is>
          <t>值得保留的动作</t>
        </is>
      </c>
      <c r="G7" s="9" t="inlineStr">
        <is>
          <t>关键改进与原话定位</t>
        </is>
      </c>
      <c r="H7" s="9" t="inlineStr">
        <is>
          <t>替代问法或动作</t>
        </is>
      </c>
      <c r="I7" s="9" t="inlineStr">
        <is>
          <t>方法依据或AI建议标注</t>
        </is>
      </c>
      <c r="J7" s="9" t="inlineStr">
        <is>
          <t>明天一个关键目标</t>
        </is>
      </c>
      <c r="K7" s="9" t="inlineStr">
        <is>
          <t>对应任务编号</t>
        </is>
      </c>
      <c r="L7" s="9" t="inlineStr">
        <is>
          <t>一次练习及验收标准</t>
        </is>
      </c>
      <c r="M7" s="9" t="inlineStr">
        <is>
          <t>执行后反馈</t>
        </is>
      </c>
      <c r="N7" s="9" t="inlineStr">
        <is>
          <t>编号检查〔自动〕</t>
        </is>
      </c>
    </row>
    <row r="8" ht="34" customHeight="1">
      <c r="A8" s="32" t="n"/>
      <c r="B8" s="33" t="n"/>
      <c r="C8" s="32" t="n"/>
      <c r="D8" s="10" t="n"/>
      <c r="E8" s="10" t="n"/>
      <c r="F8" s="10" t="n"/>
      <c r="G8" s="10" t="n"/>
      <c r="H8" s="10" t="n"/>
      <c r="I8" s="10" t="n"/>
      <c r="J8" s="10" t="n"/>
      <c r="K8" s="32" t="n"/>
      <c r="L8" s="10" t="n"/>
      <c r="M8" s="10" t="n"/>
      <c r="N8" s="34">
        <f>IF(A8="","",IF(OR(COUNTIF($A$8:$A$207,A8)&lt;&gt;1),"检查编号或关联","正常"))</f>
        <v/>
      </c>
    </row>
    <row r="9" ht="34" customHeight="1">
      <c r="A9" s="32" t="n"/>
      <c r="B9" s="33" t="n"/>
      <c r="C9" s="32" t="n"/>
      <c r="D9" s="10" t="n"/>
      <c r="E9" s="10" t="n"/>
      <c r="F9" s="10" t="n"/>
      <c r="G9" s="10" t="n"/>
      <c r="H9" s="10" t="n"/>
      <c r="I9" s="10" t="n"/>
      <c r="J9" s="10" t="n"/>
      <c r="K9" s="32" t="n"/>
      <c r="L9" s="10" t="n"/>
      <c r="M9" s="10" t="n"/>
      <c r="N9" s="34">
        <f>IF(A9="","",IF(OR(COUNTIF($A$8:$A$207,A9)&lt;&gt;1),"检查编号或关联","正常"))</f>
        <v/>
      </c>
    </row>
    <row r="10" ht="34" customHeight="1">
      <c r="A10" s="32" t="n"/>
      <c r="B10" s="33" t="n"/>
      <c r="C10" s="32" t="n"/>
      <c r="D10" s="10" t="n"/>
      <c r="E10" s="10" t="n"/>
      <c r="F10" s="10" t="n"/>
      <c r="G10" s="10" t="n"/>
      <c r="H10" s="10" t="n"/>
      <c r="I10" s="10" t="n"/>
      <c r="J10" s="10" t="n"/>
      <c r="K10" s="32" t="n"/>
      <c r="L10" s="10" t="n"/>
      <c r="M10" s="10" t="n"/>
      <c r="N10" s="34">
        <f>IF(A10="","",IF(OR(COUNTIF($A$8:$A$207,A10)&lt;&gt;1),"检查编号或关联","正常"))</f>
        <v/>
      </c>
    </row>
    <row r="11" ht="34" customHeight="1">
      <c r="A11" s="32" t="n"/>
      <c r="B11" s="33" t="n"/>
      <c r="C11" s="32" t="n"/>
      <c r="D11" s="10" t="n"/>
      <c r="E11" s="10" t="n"/>
      <c r="F11" s="10" t="n"/>
      <c r="G11" s="10" t="n"/>
      <c r="H11" s="10" t="n"/>
      <c r="I11" s="10" t="n"/>
      <c r="J11" s="10" t="n"/>
      <c r="K11" s="32" t="n"/>
      <c r="L11" s="10" t="n"/>
      <c r="M11" s="10" t="n"/>
      <c r="N11" s="34">
        <f>IF(A11="","",IF(OR(COUNTIF($A$8:$A$207,A11)&lt;&gt;1),"检查编号或关联","正常"))</f>
        <v/>
      </c>
    </row>
    <row r="12" ht="34" customHeight="1">
      <c r="A12" s="32" t="n"/>
      <c r="B12" s="33" t="n"/>
      <c r="C12" s="32" t="n"/>
      <c r="D12" s="10" t="n"/>
      <c r="E12" s="10" t="n"/>
      <c r="F12" s="10" t="n"/>
      <c r="G12" s="10" t="n"/>
      <c r="H12" s="10" t="n"/>
      <c r="I12" s="10" t="n"/>
      <c r="J12" s="10" t="n"/>
      <c r="K12" s="32" t="n"/>
      <c r="L12" s="10" t="n"/>
      <c r="M12" s="10" t="n"/>
      <c r="N12" s="34">
        <f>IF(A12="","",IF(OR(COUNTIF($A$8:$A$207,A12)&lt;&gt;1),"检查编号或关联","正常"))</f>
        <v/>
      </c>
    </row>
    <row r="13" ht="34" customHeight="1">
      <c r="A13" s="32" t="n"/>
      <c r="B13" s="33" t="n"/>
      <c r="C13" s="32" t="n"/>
      <c r="D13" s="10" t="n"/>
      <c r="E13" s="10" t="n"/>
      <c r="F13" s="10" t="n"/>
      <c r="G13" s="10" t="n"/>
      <c r="H13" s="10" t="n"/>
      <c r="I13" s="10" t="n"/>
      <c r="J13" s="10" t="n"/>
      <c r="K13" s="32" t="n"/>
      <c r="L13" s="10" t="n"/>
      <c r="M13" s="10" t="n"/>
      <c r="N13" s="34">
        <f>IF(A13="","",IF(OR(COUNTIF($A$8:$A$207,A13)&lt;&gt;1),"检查编号或关联","正常"))</f>
        <v/>
      </c>
    </row>
    <row r="14" ht="34" customHeight="1">
      <c r="A14" s="32" t="n"/>
      <c r="B14" s="33" t="n"/>
      <c r="C14" s="32" t="n"/>
      <c r="D14" s="10" t="n"/>
      <c r="E14" s="10" t="n"/>
      <c r="F14" s="10" t="n"/>
      <c r="G14" s="10" t="n"/>
      <c r="H14" s="10" t="n"/>
      <c r="I14" s="10" t="n"/>
      <c r="J14" s="10" t="n"/>
      <c r="K14" s="32" t="n"/>
      <c r="L14" s="10" t="n"/>
      <c r="M14" s="10" t="n"/>
      <c r="N14" s="34">
        <f>IF(A14="","",IF(OR(COUNTIF($A$8:$A$207,A14)&lt;&gt;1),"检查编号或关联","正常"))</f>
        <v/>
      </c>
    </row>
    <row r="15" ht="34" customHeight="1">
      <c r="A15" s="32" t="n"/>
      <c r="B15" s="33" t="n"/>
      <c r="C15" s="32" t="n"/>
      <c r="D15" s="10" t="n"/>
      <c r="E15" s="10" t="n"/>
      <c r="F15" s="10" t="n"/>
      <c r="G15" s="10" t="n"/>
      <c r="H15" s="10" t="n"/>
      <c r="I15" s="10" t="n"/>
      <c r="J15" s="10" t="n"/>
      <c r="K15" s="32" t="n"/>
      <c r="L15" s="10" t="n"/>
      <c r="M15" s="10" t="n"/>
      <c r="N15" s="34">
        <f>IF(A15="","",IF(OR(COUNTIF($A$8:$A$207,A15)&lt;&gt;1),"检查编号或关联","正常"))</f>
        <v/>
      </c>
    </row>
    <row r="16" ht="34" customHeight="1">
      <c r="A16" s="32" t="n"/>
      <c r="B16" s="33" t="n"/>
      <c r="C16" s="32" t="n"/>
      <c r="D16" s="10" t="n"/>
      <c r="E16" s="10" t="n"/>
      <c r="F16" s="10" t="n"/>
      <c r="G16" s="10" t="n"/>
      <c r="H16" s="10" t="n"/>
      <c r="I16" s="10" t="n"/>
      <c r="J16" s="10" t="n"/>
      <c r="K16" s="32" t="n"/>
      <c r="L16" s="10" t="n"/>
      <c r="M16" s="10" t="n"/>
      <c r="N16" s="34">
        <f>IF(A16="","",IF(OR(COUNTIF($A$8:$A$207,A16)&lt;&gt;1),"检查编号或关联","正常"))</f>
        <v/>
      </c>
    </row>
    <row r="17" ht="34" customHeight="1">
      <c r="A17" s="32" t="n"/>
      <c r="B17" s="33" t="n"/>
      <c r="C17" s="32" t="n"/>
      <c r="D17" s="10" t="n"/>
      <c r="E17" s="10" t="n"/>
      <c r="F17" s="10" t="n"/>
      <c r="G17" s="10" t="n"/>
      <c r="H17" s="10" t="n"/>
      <c r="I17" s="10" t="n"/>
      <c r="J17" s="10" t="n"/>
      <c r="K17" s="32" t="n"/>
      <c r="L17" s="10" t="n"/>
      <c r="M17" s="10" t="n"/>
      <c r="N17" s="34">
        <f>IF(A17="","",IF(OR(COUNTIF($A$8:$A$207,A17)&lt;&gt;1),"检查编号或关联","正常"))</f>
        <v/>
      </c>
    </row>
    <row r="18" ht="34" customHeight="1">
      <c r="A18" s="32" t="n"/>
      <c r="B18" s="33" t="n"/>
      <c r="C18" s="32" t="n"/>
      <c r="D18" s="10" t="n"/>
      <c r="E18" s="10" t="n"/>
      <c r="F18" s="10" t="n"/>
      <c r="G18" s="10" t="n"/>
      <c r="H18" s="10" t="n"/>
      <c r="I18" s="10" t="n"/>
      <c r="J18" s="10" t="n"/>
      <c r="K18" s="32" t="n"/>
      <c r="L18" s="10" t="n"/>
      <c r="M18" s="10" t="n"/>
      <c r="N18" s="34">
        <f>IF(A18="","",IF(OR(COUNTIF($A$8:$A$207,A18)&lt;&gt;1),"检查编号或关联","正常"))</f>
        <v/>
      </c>
    </row>
    <row r="19" ht="34" customHeight="1">
      <c r="A19" s="32" t="n"/>
      <c r="B19" s="33" t="n"/>
      <c r="C19" s="32" t="n"/>
      <c r="D19" s="10" t="n"/>
      <c r="E19" s="10" t="n"/>
      <c r="F19" s="10" t="n"/>
      <c r="G19" s="10" t="n"/>
      <c r="H19" s="10" t="n"/>
      <c r="I19" s="10" t="n"/>
      <c r="J19" s="10" t="n"/>
      <c r="K19" s="32" t="n"/>
      <c r="L19" s="10" t="n"/>
      <c r="M19" s="10" t="n"/>
      <c r="N19" s="34">
        <f>IF(A19="","",IF(OR(COUNTIF($A$8:$A$207,A19)&lt;&gt;1),"检查编号或关联","正常"))</f>
        <v/>
      </c>
    </row>
    <row r="20" ht="34" customHeight="1">
      <c r="A20" s="32" t="n"/>
      <c r="B20" s="33" t="n"/>
      <c r="C20" s="32" t="n"/>
      <c r="D20" s="10" t="n"/>
      <c r="E20" s="10" t="n"/>
      <c r="F20" s="10" t="n"/>
      <c r="G20" s="10" t="n"/>
      <c r="H20" s="10" t="n"/>
      <c r="I20" s="10" t="n"/>
      <c r="J20" s="10" t="n"/>
      <c r="K20" s="32" t="n"/>
      <c r="L20" s="10" t="n"/>
      <c r="M20" s="10" t="n"/>
      <c r="N20" s="34">
        <f>IF(A20="","",IF(OR(COUNTIF($A$8:$A$207,A20)&lt;&gt;1),"检查编号或关联","正常"))</f>
        <v/>
      </c>
    </row>
    <row r="21" ht="34" customHeight="1">
      <c r="A21" s="32" t="n"/>
      <c r="B21" s="33" t="n"/>
      <c r="C21" s="32" t="n"/>
      <c r="D21" s="10" t="n"/>
      <c r="E21" s="10" t="n"/>
      <c r="F21" s="10" t="n"/>
      <c r="G21" s="10" t="n"/>
      <c r="H21" s="10" t="n"/>
      <c r="I21" s="10" t="n"/>
      <c r="J21" s="10" t="n"/>
      <c r="K21" s="32" t="n"/>
      <c r="L21" s="10" t="n"/>
      <c r="M21" s="10" t="n"/>
      <c r="N21" s="34">
        <f>IF(A21="","",IF(OR(COUNTIF($A$8:$A$207,A21)&lt;&gt;1),"检查编号或关联","正常"))</f>
        <v/>
      </c>
    </row>
    <row r="22" ht="34" customHeight="1">
      <c r="A22" s="32" t="n"/>
      <c r="B22" s="33" t="n"/>
      <c r="C22" s="32" t="n"/>
      <c r="D22" s="10" t="n"/>
      <c r="E22" s="10" t="n"/>
      <c r="F22" s="10" t="n"/>
      <c r="G22" s="10" t="n"/>
      <c r="H22" s="10" t="n"/>
      <c r="I22" s="10" t="n"/>
      <c r="J22" s="10" t="n"/>
      <c r="K22" s="32" t="n"/>
      <c r="L22" s="10" t="n"/>
      <c r="M22" s="10" t="n"/>
      <c r="N22" s="34">
        <f>IF(A22="","",IF(OR(COUNTIF($A$8:$A$207,A22)&lt;&gt;1),"检查编号或关联","正常"))</f>
        <v/>
      </c>
    </row>
    <row r="23" ht="34" customHeight="1">
      <c r="A23" s="32" t="n"/>
      <c r="B23" s="33" t="n"/>
      <c r="C23" s="32" t="n"/>
      <c r="D23" s="10" t="n"/>
      <c r="E23" s="10" t="n"/>
      <c r="F23" s="10" t="n"/>
      <c r="G23" s="10" t="n"/>
      <c r="H23" s="10" t="n"/>
      <c r="I23" s="10" t="n"/>
      <c r="J23" s="10" t="n"/>
      <c r="K23" s="32" t="n"/>
      <c r="L23" s="10" t="n"/>
      <c r="M23" s="10" t="n"/>
      <c r="N23" s="34">
        <f>IF(A23="","",IF(OR(COUNTIF($A$8:$A$207,A23)&lt;&gt;1),"检查编号或关联","正常"))</f>
        <v/>
      </c>
    </row>
    <row r="24" ht="34" customHeight="1">
      <c r="A24" s="32" t="n"/>
      <c r="B24" s="33" t="n"/>
      <c r="C24" s="32" t="n"/>
      <c r="D24" s="10" t="n"/>
      <c r="E24" s="10" t="n"/>
      <c r="F24" s="10" t="n"/>
      <c r="G24" s="10" t="n"/>
      <c r="H24" s="10" t="n"/>
      <c r="I24" s="10" t="n"/>
      <c r="J24" s="10" t="n"/>
      <c r="K24" s="32" t="n"/>
      <c r="L24" s="10" t="n"/>
      <c r="M24" s="10" t="n"/>
      <c r="N24" s="34">
        <f>IF(A24="","",IF(OR(COUNTIF($A$8:$A$207,A24)&lt;&gt;1),"检查编号或关联","正常"))</f>
        <v/>
      </c>
    </row>
    <row r="25" ht="34" customHeight="1">
      <c r="A25" s="32" t="n"/>
      <c r="B25" s="33" t="n"/>
      <c r="C25" s="32" t="n"/>
      <c r="D25" s="10" t="n"/>
      <c r="E25" s="10" t="n"/>
      <c r="F25" s="10" t="n"/>
      <c r="G25" s="10" t="n"/>
      <c r="H25" s="10" t="n"/>
      <c r="I25" s="10" t="n"/>
      <c r="J25" s="10" t="n"/>
      <c r="K25" s="32" t="n"/>
      <c r="L25" s="10" t="n"/>
      <c r="M25" s="10" t="n"/>
      <c r="N25" s="34">
        <f>IF(A25="","",IF(OR(COUNTIF($A$8:$A$207,A25)&lt;&gt;1),"检查编号或关联","正常"))</f>
        <v/>
      </c>
    </row>
    <row r="26" ht="34" customHeight="1">
      <c r="A26" s="32" t="n"/>
      <c r="B26" s="33" t="n"/>
      <c r="C26" s="32" t="n"/>
      <c r="D26" s="10" t="n"/>
      <c r="E26" s="10" t="n"/>
      <c r="F26" s="10" t="n"/>
      <c r="G26" s="10" t="n"/>
      <c r="H26" s="10" t="n"/>
      <c r="I26" s="10" t="n"/>
      <c r="J26" s="10" t="n"/>
      <c r="K26" s="32" t="n"/>
      <c r="L26" s="10" t="n"/>
      <c r="M26" s="10" t="n"/>
      <c r="N26" s="34">
        <f>IF(A26="","",IF(OR(COUNTIF($A$8:$A$207,A26)&lt;&gt;1),"检查编号或关联","正常"))</f>
        <v/>
      </c>
    </row>
    <row r="27" ht="34" customHeight="1">
      <c r="A27" s="32" t="n"/>
      <c r="B27" s="33" t="n"/>
      <c r="C27" s="32" t="n"/>
      <c r="D27" s="10" t="n"/>
      <c r="E27" s="10" t="n"/>
      <c r="F27" s="10" t="n"/>
      <c r="G27" s="10" t="n"/>
      <c r="H27" s="10" t="n"/>
      <c r="I27" s="10" t="n"/>
      <c r="J27" s="10" t="n"/>
      <c r="K27" s="32" t="n"/>
      <c r="L27" s="10" t="n"/>
      <c r="M27" s="10" t="n"/>
      <c r="N27" s="34">
        <f>IF(A27="","",IF(OR(COUNTIF($A$8:$A$207,A27)&lt;&gt;1),"检查编号或关联","正常"))</f>
        <v/>
      </c>
    </row>
    <row r="28" ht="34" customHeight="1">
      <c r="A28" s="32" t="n"/>
      <c r="B28" s="33" t="n"/>
      <c r="C28" s="32" t="n"/>
      <c r="D28" s="10" t="n"/>
      <c r="E28" s="10" t="n"/>
      <c r="F28" s="10" t="n"/>
      <c r="G28" s="10" t="n"/>
      <c r="H28" s="10" t="n"/>
      <c r="I28" s="10" t="n"/>
      <c r="J28" s="10" t="n"/>
      <c r="K28" s="32" t="n"/>
      <c r="L28" s="10" t="n"/>
      <c r="M28" s="10" t="n"/>
      <c r="N28" s="34">
        <f>IF(A28="","",IF(OR(COUNTIF($A$8:$A$207,A28)&lt;&gt;1),"检查编号或关联","正常"))</f>
        <v/>
      </c>
    </row>
    <row r="29" ht="34" customHeight="1">
      <c r="A29" s="32" t="n"/>
      <c r="B29" s="33" t="n"/>
      <c r="C29" s="32" t="n"/>
      <c r="D29" s="10" t="n"/>
      <c r="E29" s="10" t="n"/>
      <c r="F29" s="10" t="n"/>
      <c r="G29" s="10" t="n"/>
      <c r="H29" s="10" t="n"/>
      <c r="I29" s="10" t="n"/>
      <c r="J29" s="10" t="n"/>
      <c r="K29" s="32" t="n"/>
      <c r="L29" s="10" t="n"/>
      <c r="M29" s="10" t="n"/>
      <c r="N29" s="34">
        <f>IF(A29="","",IF(OR(COUNTIF($A$8:$A$207,A29)&lt;&gt;1),"检查编号或关联","正常"))</f>
        <v/>
      </c>
    </row>
    <row r="30" ht="34" customHeight="1">
      <c r="A30" s="32" t="n"/>
      <c r="B30" s="33" t="n"/>
      <c r="C30" s="32" t="n"/>
      <c r="D30" s="10" t="n"/>
      <c r="E30" s="10" t="n"/>
      <c r="F30" s="10" t="n"/>
      <c r="G30" s="10" t="n"/>
      <c r="H30" s="10" t="n"/>
      <c r="I30" s="10" t="n"/>
      <c r="J30" s="10" t="n"/>
      <c r="K30" s="32" t="n"/>
      <c r="L30" s="10" t="n"/>
      <c r="M30" s="10" t="n"/>
      <c r="N30" s="34">
        <f>IF(A30="","",IF(OR(COUNTIF($A$8:$A$207,A30)&lt;&gt;1),"检查编号或关联","正常"))</f>
        <v/>
      </c>
    </row>
    <row r="31" ht="34" customHeight="1">
      <c r="A31" s="32" t="n"/>
      <c r="B31" s="33" t="n"/>
      <c r="C31" s="32" t="n"/>
      <c r="D31" s="10" t="n"/>
      <c r="E31" s="10" t="n"/>
      <c r="F31" s="10" t="n"/>
      <c r="G31" s="10" t="n"/>
      <c r="H31" s="10" t="n"/>
      <c r="I31" s="10" t="n"/>
      <c r="J31" s="10" t="n"/>
      <c r="K31" s="32" t="n"/>
      <c r="L31" s="10" t="n"/>
      <c r="M31" s="10" t="n"/>
      <c r="N31" s="34">
        <f>IF(A31="","",IF(OR(COUNTIF($A$8:$A$207,A31)&lt;&gt;1),"检查编号或关联","正常"))</f>
        <v/>
      </c>
    </row>
    <row r="32" ht="34" customHeight="1">
      <c r="A32" s="32" t="n"/>
      <c r="B32" s="33" t="n"/>
      <c r="C32" s="32" t="n"/>
      <c r="D32" s="10" t="n"/>
      <c r="E32" s="10" t="n"/>
      <c r="F32" s="10" t="n"/>
      <c r="G32" s="10" t="n"/>
      <c r="H32" s="10" t="n"/>
      <c r="I32" s="10" t="n"/>
      <c r="J32" s="10" t="n"/>
      <c r="K32" s="32" t="n"/>
      <c r="L32" s="10" t="n"/>
      <c r="M32" s="10" t="n"/>
      <c r="N32" s="34">
        <f>IF(A32="","",IF(OR(COUNTIF($A$8:$A$207,A32)&lt;&gt;1),"检查编号或关联","正常"))</f>
        <v/>
      </c>
    </row>
    <row r="33" ht="34" customHeight="1">
      <c r="A33" s="32" t="n"/>
      <c r="B33" s="33" t="n"/>
      <c r="C33" s="32" t="n"/>
      <c r="D33" s="10" t="n"/>
      <c r="E33" s="10" t="n"/>
      <c r="F33" s="10" t="n"/>
      <c r="G33" s="10" t="n"/>
      <c r="H33" s="10" t="n"/>
      <c r="I33" s="10" t="n"/>
      <c r="J33" s="10" t="n"/>
      <c r="K33" s="32" t="n"/>
      <c r="L33" s="10" t="n"/>
      <c r="M33" s="10" t="n"/>
      <c r="N33" s="34">
        <f>IF(A33="","",IF(OR(COUNTIF($A$8:$A$207,A33)&lt;&gt;1),"检查编号或关联","正常"))</f>
        <v/>
      </c>
    </row>
    <row r="34" ht="34" customHeight="1">
      <c r="A34" s="32" t="n"/>
      <c r="B34" s="33" t="n"/>
      <c r="C34" s="32" t="n"/>
      <c r="D34" s="10" t="n"/>
      <c r="E34" s="10" t="n"/>
      <c r="F34" s="10" t="n"/>
      <c r="G34" s="10" t="n"/>
      <c r="H34" s="10" t="n"/>
      <c r="I34" s="10" t="n"/>
      <c r="J34" s="10" t="n"/>
      <c r="K34" s="32" t="n"/>
      <c r="L34" s="10" t="n"/>
      <c r="M34" s="10" t="n"/>
      <c r="N34" s="34">
        <f>IF(A34="","",IF(OR(COUNTIF($A$8:$A$207,A34)&lt;&gt;1),"检查编号或关联","正常"))</f>
        <v/>
      </c>
    </row>
    <row r="35" ht="34" customHeight="1">
      <c r="A35" s="32" t="n"/>
      <c r="B35" s="33" t="n"/>
      <c r="C35" s="32" t="n"/>
      <c r="D35" s="10" t="n"/>
      <c r="E35" s="10" t="n"/>
      <c r="F35" s="10" t="n"/>
      <c r="G35" s="10" t="n"/>
      <c r="H35" s="10" t="n"/>
      <c r="I35" s="10" t="n"/>
      <c r="J35" s="10" t="n"/>
      <c r="K35" s="32" t="n"/>
      <c r="L35" s="10" t="n"/>
      <c r="M35" s="10" t="n"/>
      <c r="N35" s="34">
        <f>IF(A35="","",IF(OR(COUNTIF($A$8:$A$207,A35)&lt;&gt;1),"检查编号或关联","正常"))</f>
        <v/>
      </c>
    </row>
    <row r="36" ht="34" customHeight="1">
      <c r="A36" s="32" t="n"/>
      <c r="B36" s="33" t="n"/>
      <c r="C36" s="32" t="n"/>
      <c r="D36" s="10" t="n"/>
      <c r="E36" s="10" t="n"/>
      <c r="F36" s="10" t="n"/>
      <c r="G36" s="10" t="n"/>
      <c r="H36" s="10" t="n"/>
      <c r="I36" s="10" t="n"/>
      <c r="J36" s="10" t="n"/>
      <c r="K36" s="32" t="n"/>
      <c r="L36" s="10" t="n"/>
      <c r="M36" s="10" t="n"/>
      <c r="N36" s="34">
        <f>IF(A36="","",IF(OR(COUNTIF($A$8:$A$207,A36)&lt;&gt;1),"检查编号或关联","正常"))</f>
        <v/>
      </c>
    </row>
    <row r="37" ht="34" customHeight="1">
      <c r="A37" s="32" t="n"/>
      <c r="B37" s="33" t="n"/>
      <c r="C37" s="32" t="n"/>
      <c r="D37" s="10" t="n"/>
      <c r="E37" s="10" t="n"/>
      <c r="F37" s="10" t="n"/>
      <c r="G37" s="10" t="n"/>
      <c r="H37" s="10" t="n"/>
      <c r="I37" s="10" t="n"/>
      <c r="J37" s="10" t="n"/>
      <c r="K37" s="32" t="n"/>
      <c r="L37" s="10" t="n"/>
      <c r="M37" s="10" t="n"/>
      <c r="N37" s="34">
        <f>IF(A37="","",IF(OR(COUNTIF($A$8:$A$207,A37)&lt;&gt;1),"检查编号或关联","正常"))</f>
        <v/>
      </c>
    </row>
    <row r="38" ht="34" customHeight="1">
      <c r="A38" s="32" t="n"/>
      <c r="B38" s="33" t="n"/>
      <c r="C38" s="32" t="n"/>
      <c r="D38" s="10" t="n"/>
      <c r="E38" s="10" t="n"/>
      <c r="F38" s="10" t="n"/>
      <c r="G38" s="10" t="n"/>
      <c r="H38" s="10" t="n"/>
      <c r="I38" s="10" t="n"/>
      <c r="J38" s="10" t="n"/>
      <c r="K38" s="32" t="n"/>
      <c r="L38" s="10" t="n"/>
      <c r="M38" s="10" t="n"/>
      <c r="N38" s="34">
        <f>IF(A38="","",IF(OR(COUNTIF($A$8:$A$207,A38)&lt;&gt;1),"检查编号或关联","正常"))</f>
        <v/>
      </c>
    </row>
    <row r="39" ht="34" customHeight="1">
      <c r="A39" s="32" t="n"/>
      <c r="B39" s="33" t="n"/>
      <c r="C39" s="32" t="n"/>
      <c r="D39" s="10" t="n"/>
      <c r="E39" s="10" t="n"/>
      <c r="F39" s="10" t="n"/>
      <c r="G39" s="10" t="n"/>
      <c r="H39" s="10" t="n"/>
      <c r="I39" s="10" t="n"/>
      <c r="J39" s="10" t="n"/>
      <c r="K39" s="32" t="n"/>
      <c r="L39" s="10" t="n"/>
      <c r="M39" s="10" t="n"/>
      <c r="N39" s="34">
        <f>IF(A39="","",IF(OR(COUNTIF($A$8:$A$207,A39)&lt;&gt;1),"检查编号或关联","正常"))</f>
        <v/>
      </c>
    </row>
    <row r="40" ht="34" customHeight="1">
      <c r="A40" s="32" t="n"/>
      <c r="B40" s="33" t="n"/>
      <c r="C40" s="32" t="n"/>
      <c r="D40" s="10" t="n"/>
      <c r="E40" s="10" t="n"/>
      <c r="F40" s="10" t="n"/>
      <c r="G40" s="10" t="n"/>
      <c r="H40" s="10" t="n"/>
      <c r="I40" s="10" t="n"/>
      <c r="J40" s="10" t="n"/>
      <c r="K40" s="32" t="n"/>
      <c r="L40" s="10" t="n"/>
      <c r="M40" s="10" t="n"/>
      <c r="N40" s="34">
        <f>IF(A40="","",IF(OR(COUNTIF($A$8:$A$207,A40)&lt;&gt;1),"检查编号或关联","正常"))</f>
        <v/>
      </c>
    </row>
    <row r="41" ht="34" customHeight="1">
      <c r="A41" s="32" t="n"/>
      <c r="B41" s="33" t="n"/>
      <c r="C41" s="32" t="n"/>
      <c r="D41" s="10" t="n"/>
      <c r="E41" s="10" t="n"/>
      <c r="F41" s="10" t="n"/>
      <c r="G41" s="10" t="n"/>
      <c r="H41" s="10" t="n"/>
      <c r="I41" s="10" t="n"/>
      <c r="J41" s="10" t="n"/>
      <c r="K41" s="32" t="n"/>
      <c r="L41" s="10" t="n"/>
      <c r="M41" s="10" t="n"/>
      <c r="N41" s="34">
        <f>IF(A41="","",IF(OR(COUNTIF($A$8:$A$207,A41)&lt;&gt;1),"检查编号或关联","正常"))</f>
        <v/>
      </c>
    </row>
    <row r="42" ht="34" customHeight="1">
      <c r="A42" s="32" t="n"/>
      <c r="B42" s="33" t="n"/>
      <c r="C42" s="32" t="n"/>
      <c r="D42" s="10" t="n"/>
      <c r="E42" s="10" t="n"/>
      <c r="F42" s="10" t="n"/>
      <c r="G42" s="10" t="n"/>
      <c r="H42" s="10" t="n"/>
      <c r="I42" s="10" t="n"/>
      <c r="J42" s="10" t="n"/>
      <c r="K42" s="32" t="n"/>
      <c r="L42" s="10" t="n"/>
      <c r="M42" s="10" t="n"/>
      <c r="N42" s="34">
        <f>IF(A42="","",IF(OR(COUNTIF($A$8:$A$207,A42)&lt;&gt;1),"检查编号或关联","正常"))</f>
        <v/>
      </c>
    </row>
    <row r="43" ht="34" customHeight="1">
      <c r="A43" s="32" t="n"/>
      <c r="B43" s="33" t="n"/>
      <c r="C43" s="32" t="n"/>
      <c r="D43" s="10" t="n"/>
      <c r="E43" s="10" t="n"/>
      <c r="F43" s="10" t="n"/>
      <c r="G43" s="10" t="n"/>
      <c r="H43" s="10" t="n"/>
      <c r="I43" s="10" t="n"/>
      <c r="J43" s="10" t="n"/>
      <c r="K43" s="32" t="n"/>
      <c r="L43" s="10" t="n"/>
      <c r="M43" s="10" t="n"/>
      <c r="N43" s="34">
        <f>IF(A43="","",IF(OR(COUNTIF($A$8:$A$207,A43)&lt;&gt;1),"检查编号或关联","正常"))</f>
        <v/>
      </c>
    </row>
    <row r="44" ht="34" customHeight="1">
      <c r="A44" s="32" t="n"/>
      <c r="B44" s="33" t="n"/>
      <c r="C44" s="32" t="n"/>
      <c r="D44" s="10" t="n"/>
      <c r="E44" s="10" t="n"/>
      <c r="F44" s="10" t="n"/>
      <c r="G44" s="10" t="n"/>
      <c r="H44" s="10" t="n"/>
      <c r="I44" s="10" t="n"/>
      <c r="J44" s="10" t="n"/>
      <c r="K44" s="32" t="n"/>
      <c r="L44" s="10" t="n"/>
      <c r="M44" s="10" t="n"/>
      <c r="N44" s="34">
        <f>IF(A44="","",IF(OR(COUNTIF($A$8:$A$207,A44)&lt;&gt;1),"检查编号或关联","正常"))</f>
        <v/>
      </c>
    </row>
    <row r="45" ht="34" customHeight="1">
      <c r="A45" s="32" t="n"/>
      <c r="B45" s="33" t="n"/>
      <c r="C45" s="32" t="n"/>
      <c r="D45" s="10" t="n"/>
      <c r="E45" s="10" t="n"/>
      <c r="F45" s="10" t="n"/>
      <c r="G45" s="10" t="n"/>
      <c r="H45" s="10" t="n"/>
      <c r="I45" s="10" t="n"/>
      <c r="J45" s="10" t="n"/>
      <c r="K45" s="32" t="n"/>
      <c r="L45" s="10" t="n"/>
      <c r="M45" s="10" t="n"/>
      <c r="N45" s="34">
        <f>IF(A45="","",IF(OR(COUNTIF($A$8:$A$207,A45)&lt;&gt;1),"检查编号或关联","正常"))</f>
        <v/>
      </c>
    </row>
    <row r="46" ht="34" customHeight="1">
      <c r="A46" s="32" t="n"/>
      <c r="B46" s="33" t="n"/>
      <c r="C46" s="32" t="n"/>
      <c r="D46" s="10" t="n"/>
      <c r="E46" s="10" t="n"/>
      <c r="F46" s="10" t="n"/>
      <c r="G46" s="10" t="n"/>
      <c r="H46" s="10" t="n"/>
      <c r="I46" s="10" t="n"/>
      <c r="J46" s="10" t="n"/>
      <c r="K46" s="32" t="n"/>
      <c r="L46" s="10" t="n"/>
      <c r="M46" s="10" t="n"/>
      <c r="N46" s="34">
        <f>IF(A46="","",IF(OR(COUNTIF($A$8:$A$207,A46)&lt;&gt;1),"检查编号或关联","正常"))</f>
        <v/>
      </c>
    </row>
    <row r="47" ht="34" customHeight="1">
      <c r="A47" s="32" t="n"/>
      <c r="B47" s="33" t="n"/>
      <c r="C47" s="32" t="n"/>
      <c r="D47" s="10" t="n"/>
      <c r="E47" s="10" t="n"/>
      <c r="F47" s="10" t="n"/>
      <c r="G47" s="10" t="n"/>
      <c r="H47" s="10" t="n"/>
      <c r="I47" s="10" t="n"/>
      <c r="J47" s="10" t="n"/>
      <c r="K47" s="32" t="n"/>
      <c r="L47" s="10" t="n"/>
      <c r="M47" s="10" t="n"/>
      <c r="N47" s="34">
        <f>IF(A47="","",IF(OR(COUNTIF($A$8:$A$207,A47)&lt;&gt;1),"检查编号或关联","正常"))</f>
        <v/>
      </c>
    </row>
    <row r="48" ht="34" customHeight="1">
      <c r="A48" s="32" t="n"/>
      <c r="B48" s="33" t="n"/>
      <c r="C48" s="32" t="n"/>
      <c r="D48" s="10" t="n"/>
      <c r="E48" s="10" t="n"/>
      <c r="F48" s="10" t="n"/>
      <c r="G48" s="10" t="n"/>
      <c r="H48" s="10" t="n"/>
      <c r="I48" s="10" t="n"/>
      <c r="J48" s="10" t="n"/>
      <c r="K48" s="32" t="n"/>
      <c r="L48" s="10" t="n"/>
      <c r="M48" s="10" t="n"/>
      <c r="N48" s="34">
        <f>IF(A48="","",IF(OR(COUNTIF($A$8:$A$207,A48)&lt;&gt;1),"检查编号或关联","正常"))</f>
        <v/>
      </c>
    </row>
    <row r="49" ht="34" customHeight="1">
      <c r="A49" s="32" t="n"/>
      <c r="B49" s="33" t="n"/>
      <c r="C49" s="32" t="n"/>
      <c r="D49" s="10" t="n"/>
      <c r="E49" s="10" t="n"/>
      <c r="F49" s="10" t="n"/>
      <c r="G49" s="10" t="n"/>
      <c r="H49" s="10" t="n"/>
      <c r="I49" s="10" t="n"/>
      <c r="J49" s="10" t="n"/>
      <c r="K49" s="32" t="n"/>
      <c r="L49" s="10" t="n"/>
      <c r="M49" s="10" t="n"/>
      <c r="N49" s="34">
        <f>IF(A49="","",IF(OR(COUNTIF($A$8:$A$207,A49)&lt;&gt;1),"检查编号或关联","正常"))</f>
        <v/>
      </c>
    </row>
    <row r="50" ht="34" customHeight="1">
      <c r="A50" s="32" t="n"/>
      <c r="B50" s="33" t="n"/>
      <c r="C50" s="32" t="n"/>
      <c r="D50" s="10" t="n"/>
      <c r="E50" s="10" t="n"/>
      <c r="F50" s="10" t="n"/>
      <c r="G50" s="10" t="n"/>
      <c r="H50" s="10" t="n"/>
      <c r="I50" s="10" t="n"/>
      <c r="J50" s="10" t="n"/>
      <c r="K50" s="32" t="n"/>
      <c r="L50" s="10" t="n"/>
      <c r="M50" s="10" t="n"/>
      <c r="N50" s="34">
        <f>IF(A50="","",IF(OR(COUNTIF($A$8:$A$207,A50)&lt;&gt;1),"检查编号或关联","正常"))</f>
        <v/>
      </c>
    </row>
    <row r="51" ht="34" customHeight="1">
      <c r="A51" s="32" t="n"/>
      <c r="B51" s="33" t="n"/>
      <c r="C51" s="32" t="n"/>
      <c r="D51" s="10" t="n"/>
      <c r="E51" s="10" t="n"/>
      <c r="F51" s="10" t="n"/>
      <c r="G51" s="10" t="n"/>
      <c r="H51" s="10" t="n"/>
      <c r="I51" s="10" t="n"/>
      <c r="J51" s="10" t="n"/>
      <c r="K51" s="32" t="n"/>
      <c r="L51" s="10" t="n"/>
      <c r="M51" s="10" t="n"/>
      <c r="N51" s="34">
        <f>IF(A51="","",IF(OR(COUNTIF($A$8:$A$207,A51)&lt;&gt;1),"检查编号或关联","正常"))</f>
        <v/>
      </c>
    </row>
    <row r="52" ht="34" customHeight="1">
      <c r="A52" s="32" t="n"/>
      <c r="B52" s="33" t="n"/>
      <c r="C52" s="32" t="n"/>
      <c r="D52" s="10" t="n"/>
      <c r="E52" s="10" t="n"/>
      <c r="F52" s="10" t="n"/>
      <c r="G52" s="10" t="n"/>
      <c r="H52" s="10" t="n"/>
      <c r="I52" s="10" t="n"/>
      <c r="J52" s="10" t="n"/>
      <c r="K52" s="32" t="n"/>
      <c r="L52" s="10" t="n"/>
      <c r="M52" s="10" t="n"/>
      <c r="N52" s="34">
        <f>IF(A52="","",IF(OR(COUNTIF($A$8:$A$207,A52)&lt;&gt;1),"检查编号或关联","正常"))</f>
        <v/>
      </c>
    </row>
    <row r="53" ht="34" customHeight="1">
      <c r="A53" s="32" t="n"/>
      <c r="B53" s="33" t="n"/>
      <c r="C53" s="32" t="n"/>
      <c r="D53" s="10" t="n"/>
      <c r="E53" s="10" t="n"/>
      <c r="F53" s="10" t="n"/>
      <c r="G53" s="10" t="n"/>
      <c r="H53" s="10" t="n"/>
      <c r="I53" s="10" t="n"/>
      <c r="J53" s="10" t="n"/>
      <c r="K53" s="32" t="n"/>
      <c r="L53" s="10" t="n"/>
      <c r="M53" s="10" t="n"/>
      <c r="N53" s="34">
        <f>IF(A53="","",IF(OR(COUNTIF($A$8:$A$207,A53)&lt;&gt;1),"检查编号或关联","正常"))</f>
        <v/>
      </c>
    </row>
    <row r="54" ht="34" customHeight="1">
      <c r="A54" s="32" t="n"/>
      <c r="B54" s="33" t="n"/>
      <c r="C54" s="32" t="n"/>
      <c r="D54" s="10" t="n"/>
      <c r="E54" s="10" t="n"/>
      <c r="F54" s="10" t="n"/>
      <c r="G54" s="10" t="n"/>
      <c r="H54" s="10" t="n"/>
      <c r="I54" s="10" t="n"/>
      <c r="J54" s="10" t="n"/>
      <c r="K54" s="32" t="n"/>
      <c r="L54" s="10" t="n"/>
      <c r="M54" s="10" t="n"/>
      <c r="N54" s="34">
        <f>IF(A54="","",IF(OR(COUNTIF($A$8:$A$207,A54)&lt;&gt;1),"检查编号或关联","正常"))</f>
        <v/>
      </c>
    </row>
    <row r="55" ht="34" customHeight="1">
      <c r="A55" s="32" t="n"/>
      <c r="B55" s="33" t="n"/>
      <c r="C55" s="32" t="n"/>
      <c r="D55" s="10" t="n"/>
      <c r="E55" s="10" t="n"/>
      <c r="F55" s="10" t="n"/>
      <c r="G55" s="10" t="n"/>
      <c r="H55" s="10" t="n"/>
      <c r="I55" s="10" t="n"/>
      <c r="J55" s="10" t="n"/>
      <c r="K55" s="32" t="n"/>
      <c r="L55" s="10" t="n"/>
      <c r="M55" s="10" t="n"/>
      <c r="N55" s="34">
        <f>IF(A55="","",IF(OR(COUNTIF($A$8:$A$207,A55)&lt;&gt;1),"检查编号或关联","正常"))</f>
        <v/>
      </c>
    </row>
    <row r="56" ht="34" customHeight="1">
      <c r="A56" s="32" t="n"/>
      <c r="B56" s="33" t="n"/>
      <c r="C56" s="32" t="n"/>
      <c r="D56" s="10" t="n"/>
      <c r="E56" s="10" t="n"/>
      <c r="F56" s="10" t="n"/>
      <c r="G56" s="10" t="n"/>
      <c r="H56" s="10" t="n"/>
      <c r="I56" s="10" t="n"/>
      <c r="J56" s="10" t="n"/>
      <c r="K56" s="32" t="n"/>
      <c r="L56" s="10" t="n"/>
      <c r="M56" s="10" t="n"/>
      <c r="N56" s="34">
        <f>IF(A56="","",IF(OR(COUNTIF($A$8:$A$207,A56)&lt;&gt;1),"检查编号或关联","正常"))</f>
        <v/>
      </c>
    </row>
    <row r="57" ht="34" customHeight="1">
      <c r="A57" s="32" t="n"/>
      <c r="B57" s="33" t="n"/>
      <c r="C57" s="32" t="n"/>
      <c r="D57" s="10" t="n"/>
      <c r="E57" s="10" t="n"/>
      <c r="F57" s="10" t="n"/>
      <c r="G57" s="10" t="n"/>
      <c r="H57" s="10" t="n"/>
      <c r="I57" s="10" t="n"/>
      <c r="J57" s="10" t="n"/>
      <c r="K57" s="32" t="n"/>
      <c r="L57" s="10" t="n"/>
      <c r="M57" s="10" t="n"/>
      <c r="N57" s="34">
        <f>IF(A57="","",IF(OR(COUNTIF($A$8:$A$207,A57)&lt;&gt;1),"检查编号或关联","正常"))</f>
        <v/>
      </c>
    </row>
    <row r="58" ht="34" customHeight="1">
      <c r="A58" s="32" t="n"/>
      <c r="B58" s="33" t="n"/>
      <c r="C58" s="32" t="n"/>
      <c r="D58" s="10" t="n"/>
      <c r="E58" s="10" t="n"/>
      <c r="F58" s="10" t="n"/>
      <c r="G58" s="10" t="n"/>
      <c r="H58" s="10" t="n"/>
      <c r="I58" s="10" t="n"/>
      <c r="J58" s="10" t="n"/>
      <c r="K58" s="32" t="n"/>
      <c r="L58" s="10" t="n"/>
      <c r="M58" s="10" t="n"/>
      <c r="N58" s="34">
        <f>IF(A58="","",IF(OR(COUNTIF($A$8:$A$207,A58)&lt;&gt;1),"检查编号或关联","正常"))</f>
        <v/>
      </c>
    </row>
    <row r="59" ht="34" customHeight="1">
      <c r="A59" s="32" t="n"/>
      <c r="B59" s="33" t="n"/>
      <c r="C59" s="32" t="n"/>
      <c r="D59" s="10" t="n"/>
      <c r="E59" s="10" t="n"/>
      <c r="F59" s="10" t="n"/>
      <c r="G59" s="10" t="n"/>
      <c r="H59" s="10" t="n"/>
      <c r="I59" s="10" t="n"/>
      <c r="J59" s="10" t="n"/>
      <c r="K59" s="32" t="n"/>
      <c r="L59" s="10" t="n"/>
      <c r="M59" s="10" t="n"/>
      <c r="N59" s="34">
        <f>IF(A59="","",IF(OR(COUNTIF($A$8:$A$207,A59)&lt;&gt;1),"检查编号或关联","正常"))</f>
        <v/>
      </c>
    </row>
    <row r="60" ht="34" customHeight="1">
      <c r="A60" s="32" t="n"/>
      <c r="B60" s="33" t="n"/>
      <c r="C60" s="32" t="n"/>
      <c r="D60" s="10" t="n"/>
      <c r="E60" s="10" t="n"/>
      <c r="F60" s="10" t="n"/>
      <c r="G60" s="10" t="n"/>
      <c r="H60" s="10" t="n"/>
      <c r="I60" s="10" t="n"/>
      <c r="J60" s="10" t="n"/>
      <c r="K60" s="32" t="n"/>
      <c r="L60" s="10" t="n"/>
      <c r="M60" s="10" t="n"/>
      <c r="N60" s="34">
        <f>IF(A60="","",IF(OR(COUNTIF($A$8:$A$207,A60)&lt;&gt;1),"检查编号或关联","正常"))</f>
        <v/>
      </c>
    </row>
    <row r="61" ht="34" customHeight="1">
      <c r="A61" s="32" t="n"/>
      <c r="B61" s="33" t="n"/>
      <c r="C61" s="32" t="n"/>
      <c r="D61" s="10" t="n"/>
      <c r="E61" s="10" t="n"/>
      <c r="F61" s="10" t="n"/>
      <c r="G61" s="10" t="n"/>
      <c r="H61" s="10" t="n"/>
      <c r="I61" s="10" t="n"/>
      <c r="J61" s="10" t="n"/>
      <c r="K61" s="32" t="n"/>
      <c r="L61" s="10" t="n"/>
      <c r="M61" s="10" t="n"/>
      <c r="N61" s="34">
        <f>IF(A61="","",IF(OR(COUNTIF($A$8:$A$207,A61)&lt;&gt;1),"检查编号或关联","正常"))</f>
        <v/>
      </c>
    </row>
    <row r="62" ht="34" customHeight="1">
      <c r="A62" s="32" t="n"/>
      <c r="B62" s="33" t="n"/>
      <c r="C62" s="32" t="n"/>
      <c r="D62" s="10" t="n"/>
      <c r="E62" s="10" t="n"/>
      <c r="F62" s="10" t="n"/>
      <c r="G62" s="10" t="n"/>
      <c r="H62" s="10" t="n"/>
      <c r="I62" s="10" t="n"/>
      <c r="J62" s="10" t="n"/>
      <c r="K62" s="32" t="n"/>
      <c r="L62" s="10" t="n"/>
      <c r="M62" s="10" t="n"/>
      <c r="N62" s="34">
        <f>IF(A62="","",IF(OR(COUNTIF($A$8:$A$207,A62)&lt;&gt;1),"检查编号或关联","正常"))</f>
        <v/>
      </c>
    </row>
    <row r="63" ht="34" customHeight="1">
      <c r="A63" s="32" t="n"/>
      <c r="B63" s="33" t="n"/>
      <c r="C63" s="32" t="n"/>
      <c r="D63" s="10" t="n"/>
      <c r="E63" s="10" t="n"/>
      <c r="F63" s="10" t="n"/>
      <c r="G63" s="10" t="n"/>
      <c r="H63" s="10" t="n"/>
      <c r="I63" s="10" t="n"/>
      <c r="J63" s="10" t="n"/>
      <c r="K63" s="32" t="n"/>
      <c r="L63" s="10" t="n"/>
      <c r="M63" s="10" t="n"/>
      <c r="N63" s="34">
        <f>IF(A63="","",IF(OR(COUNTIF($A$8:$A$207,A63)&lt;&gt;1),"检查编号或关联","正常"))</f>
        <v/>
      </c>
    </row>
    <row r="64" ht="34" customHeight="1">
      <c r="A64" s="32" t="n"/>
      <c r="B64" s="33" t="n"/>
      <c r="C64" s="32" t="n"/>
      <c r="D64" s="10" t="n"/>
      <c r="E64" s="10" t="n"/>
      <c r="F64" s="10" t="n"/>
      <c r="G64" s="10" t="n"/>
      <c r="H64" s="10" t="n"/>
      <c r="I64" s="10" t="n"/>
      <c r="J64" s="10" t="n"/>
      <c r="K64" s="32" t="n"/>
      <c r="L64" s="10" t="n"/>
      <c r="M64" s="10" t="n"/>
      <c r="N64" s="34">
        <f>IF(A64="","",IF(OR(COUNTIF($A$8:$A$207,A64)&lt;&gt;1),"检查编号或关联","正常"))</f>
        <v/>
      </c>
    </row>
    <row r="65" ht="34" customHeight="1">
      <c r="A65" s="32" t="n"/>
      <c r="B65" s="33" t="n"/>
      <c r="C65" s="32" t="n"/>
      <c r="D65" s="10" t="n"/>
      <c r="E65" s="10" t="n"/>
      <c r="F65" s="10" t="n"/>
      <c r="G65" s="10" t="n"/>
      <c r="H65" s="10" t="n"/>
      <c r="I65" s="10" t="n"/>
      <c r="J65" s="10" t="n"/>
      <c r="K65" s="32" t="n"/>
      <c r="L65" s="10" t="n"/>
      <c r="M65" s="10" t="n"/>
      <c r="N65" s="34">
        <f>IF(A65="","",IF(OR(COUNTIF($A$8:$A$207,A65)&lt;&gt;1),"检查编号或关联","正常"))</f>
        <v/>
      </c>
    </row>
    <row r="66" ht="34" customHeight="1">
      <c r="A66" s="32" t="n"/>
      <c r="B66" s="33" t="n"/>
      <c r="C66" s="32" t="n"/>
      <c r="D66" s="10" t="n"/>
      <c r="E66" s="10" t="n"/>
      <c r="F66" s="10" t="n"/>
      <c r="G66" s="10" t="n"/>
      <c r="H66" s="10" t="n"/>
      <c r="I66" s="10" t="n"/>
      <c r="J66" s="10" t="n"/>
      <c r="K66" s="32" t="n"/>
      <c r="L66" s="10" t="n"/>
      <c r="M66" s="10" t="n"/>
      <c r="N66" s="34">
        <f>IF(A66="","",IF(OR(COUNTIF($A$8:$A$207,A66)&lt;&gt;1),"检查编号或关联","正常"))</f>
        <v/>
      </c>
    </row>
    <row r="67" ht="34" customHeight="1">
      <c r="A67" s="32" t="n"/>
      <c r="B67" s="33" t="n"/>
      <c r="C67" s="32" t="n"/>
      <c r="D67" s="10" t="n"/>
      <c r="E67" s="10" t="n"/>
      <c r="F67" s="10" t="n"/>
      <c r="G67" s="10" t="n"/>
      <c r="H67" s="10" t="n"/>
      <c r="I67" s="10" t="n"/>
      <c r="J67" s="10" t="n"/>
      <c r="K67" s="32" t="n"/>
      <c r="L67" s="10" t="n"/>
      <c r="M67" s="10" t="n"/>
      <c r="N67" s="34">
        <f>IF(A67="","",IF(OR(COUNTIF($A$8:$A$207,A67)&lt;&gt;1),"检查编号或关联","正常"))</f>
        <v/>
      </c>
    </row>
    <row r="68" ht="34" customHeight="1">
      <c r="A68" s="32" t="n"/>
      <c r="B68" s="33" t="n"/>
      <c r="C68" s="32" t="n"/>
      <c r="D68" s="10" t="n"/>
      <c r="E68" s="10" t="n"/>
      <c r="F68" s="10" t="n"/>
      <c r="G68" s="10" t="n"/>
      <c r="H68" s="10" t="n"/>
      <c r="I68" s="10" t="n"/>
      <c r="J68" s="10" t="n"/>
      <c r="K68" s="32" t="n"/>
      <c r="L68" s="10" t="n"/>
      <c r="M68" s="10" t="n"/>
      <c r="N68" s="34">
        <f>IF(A68="","",IF(OR(COUNTIF($A$8:$A$207,A68)&lt;&gt;1),"检查编号或关联","正常"))</f>
        <v/>
      </c>
    </row>
    <row r="69" ht="34" customHeight="1">
      <c r="A69" s="32" t="n"/>
      <c r="B69" s="33" t="n"/>
      <c r="C69" s="32" t="n"/>
      <c r="D69" s="10" t="n"/>
      <c r="E69" s="10" t="n"/>
      <c r="F69" s="10" t="n"/>
      <c r="G69" s="10" t="n"/>
      <c r="H69" s="10" t="n"/>
      <c r="I69" s="10" t="n"/>
      <c r="J69" s="10" t="n"/>
      <c r="K69" s="32" t="n"/>
      <c r="L69" s="10" t="n"/>
      <c r="M69" s="10" t="n"/>
      <c r="N69" s="34">
        <f>IF(A69="","",IF(OR(COUNTIF($A$8:$A$207,A69)&lt;&gt;1),"检查编号或关联","正常"))</f>
        <v/>
      </c>
    </row>
    <row r="70" ht="34" customHeight="1">
      <c r="A70" s="32" t="n"/>
      <c r="B70" s="33" t="n"/>
      <c r="C70" s="32" t="n"/>
      <c r="D70" s="10" t="n"/>
      <c r="E70" s="10" t="n"/>
      <c r="F70" s="10" t="n"/>
      <c r="G70" s="10" t="n"/>
      <c r="H70" s="10" t="n"/>
      <c r="I70" s="10" t="n"/>
      <c r="J70" s="10" t="n"/>
      <c r="K70" s="32" t="n"/>
      <c r="L70" s="10" t="n"/>
      <c r="M70" s="10" t="n"/>
      <c r="N70" s="34">
        <f>IF(A70="","",IF(OR(COUNTIF($A$8:$A$207,A70)&lt;&gt;1),"检查编号或关联","正常"))</f>
        <v/>
      </c>
    </row>
    <row r="71" ht="34" customHeight="1">
      <c r="A71" s="32" t="n"/>
      <c r="B71" s="33" t="n"/>
      <c r="C71" s="32" t="n"/>
      <c r="D71" s="10" t="n"/>
      <c r="E71" s="10" t="n"/>
      <c r="F71" s="10" t="n"/>
      <c r="G71" s="10" t="n"/>
      <c r="H71" s="10" t="n"/>
      <c r="I71" s="10" t="n"/>
      <c r="J71" s="10" t="n"/>
      <c r="K71" s="32" t="n"/>
      <c r="L71" s="10" t="n"/>
      <c r="M71" s="10" t="n"/>
      <c r="N71" s="34">
        <f>IF(A71="","",IF(OR(COUNTIF($A$8:$A$207,A71)&lt;&gt;1),"检查编号或关联","正常"))</f>
        <v/>
      </c>
    </row>
    <row r="72" ht="34" customHeight="1">
      <c r="A72" s="32" t="n"/>
      <c r="B72" s="33" t="n"/>
      <c r="C72" s="32" t="n"/>
      <c r="D72" s="10" t="n"/>
      <c r="E72" s="10" t="n"/>
      <c r="F72" s="10" t="n"/>
      <c r="G72" s="10" t="n"/>
      <c r="H72" s="10" t="n"/>
      <c r="I72" s="10" t="n"/>
      <c r="J72" s="10" t="n"/>
      <c r="K72" s="32" t="n"/>
      <c r="L72" s="10" t="n"/>
      <c r="M72" s="10" t="n"/>
      <c r="N72" s="34">
        <f>IF(A72="","",IF(OR(COUNTIF($A$8:$A$207,A72)&lt;&gt;1),"检查编号或关联","正常"))</f>
        <v/>
      </c>
    </row>
    <row r="73" ht="34" customHeight="1">
      <c r="A73" s="32" t="n"/>
      <c r="B73" s="33" t="n"/>
      <c r="C73" s="32" t="n"/>
      <c r="D73" s="10" t="n"/>
      <c r="E73" s="10" t="n"/>
      <c r="F73" s="10" t="n"/>
      <c r="G73" s="10" t="n"/>
      <c r="H73" s="10" t="n"/>
      <c r="I73" s="10" t="n"/>
      <c r="J73" s="10" t="n"/>
      <c r="K73" s="32" t="n"/>
      <c r="L73" s="10" t="n"/>
      <c r="M73" s="10" t="n"/>
      <c r="N73" s="34">
        <f>IF(A73="","",IF(OR(COUNTIF($A$8:$A$207,A73)&lt;&gt;1),"检查编号或关联","正常"))</f>
        <v/>
      </c>
    </row>
    <row r="74" ht="34" customHeight="1">
      <c r="A74" s="32" t="n"/>
      <c r="B74" s="33" t="n"/>
      <c r="C74" s="32" t="n"/>
      <c r="D74" s="10" t="n"/>
      <c r="E74" s="10" t="n"/>
      <c r="F74" s="10" t="n"/>
      <c r="G74" s="10" t="n"/>
      <c r="H74" s="10" t="n"/>
      <c r="I74" s="10" t="n"/>
      <c r="J74" s="10" t="n"/>
      <c r="K74" s="32" t="n"/>
      <c r="L74" s="10" t="n"/>
      <c r="M74" s="10" t="n"/>
      <c r="N74" s="34">
        <f>IF(A74="","",IF(OR(COUNTIF($A$8:$A$207,A74)&lt;&gt;1),"检查编号或关联","正常"))</f>
        <v/>
      </c>
    </row>
    <row r="75" ht="34" customHeight="1">
      <c r="A75" s="32" t="n"/>
      <c r="B75" s="33" t="n"/>
      <c r="C75" s="32" t="n"/>
      <c r="D75" s="10" t="n"/>
      <c r="E75" s="10" t="n"/>
      <c r="F75" s="10" t="n"/>
      <c r="G75" s="10" t="n"/>
      <c r="H75" s="10" t="n"/>
      <c r="I75" s="10" t="n"/>
      <c r="J75" s="10" t="n"/>
      <c r="K75" s="32" t="n"/>
      <c r="L75" s="10" t="n"/>
      <c r="M75" s="10" t="n"/>
      <c r="N75" s="34">
        <f>IF(A75="","",IF(OR(COUNTIF($A$8:$A$207,A75)&lt;&gt;1),"检查编号或关联","正常"))</f>
        <v/>
      </c>
    </row>
    <row r="76" ht="34" customHeight="1">
      <c r="A76" s="32" t="n"/>
      <c r="B76" s="33" t="n"/>
      <c r="C76" s="32" t="n"/>
      <c r="D76" s="10" t="n"/>
      <c r="E76" s="10" t="n"/>
      <c r="F76" s="10" t="n"/>
      <c r="G76" s="10" t="n"/>
      <c r="H76" s="10" t="n"/>
      <c r="I76" s="10" t="n"/>
      <c r="J76" s="10" t="n"/>
      <c r="K76" s="32" t="n"/>
      <c r="L76" s="10" t="n"/>
      <c r="M76" s="10" t="n"/>
      <c r="N76" s="34">
        <f>IF(A76="","",IF(OR(COUNTIF($A$8:$A$207,A76)&lt;&gt;1),"检查编号或关联","正常"))</f>
        <v/>
      </c>
    </row>
    <row r="77" ht="34" customHeight="1">
      <c r="A77" s="32" t="n"/>
      <c r="B77" s="33" t="n"/>
      <c r="C77" s="32" t="n"/>
      <c r="D77" s="10" t="n"/>
      <c r="E77" s="10" t="n"/>
      <c r="F77" s="10" t="n"/>
      <c r="G77" s="10" t="n"/>
      <c r="H77" s="10" t="n"/>
      <c r="I77" s="10" t="n"/>
      <c r="J77" s="10" t="n"/>
      <c r="K77" s="32" t="n"/>
      <c r="L77" s="10" t="n"/>
      <c r="M77" s="10" t="n"/>
      <c r="N77" s="34">
        <f>IF(A77="","",IF(OR(COUNTIF($A$8:$A$207,A77)&lt;&gt;1),"检查编号或关联","正常"))</f>
        <v/>
      </c>
    </row>
    <row r="78" ht="34" customHeight="1">
      <c r="A78" s="32" t="n"/>
      <c r="B78" s="33" t="n"/>
      <c r="C78" s="32" t="n"/>
      <c r="D78" s="10" t="n"/>
      <c r="E78" s="10" t="n"/>
      <c r="F78" s="10" t="n"/>
      <c r="G78" s="10" t="n"/>
      <c r="H78" s="10" t="n"/>
      <c r="I78" s="10" t="n"/>
      <c r="J78" s="10" t="n"/>
      <c r="K78" s="32" t="n"/>
      <c r="L78" s="10" t="n"/>
      <c r="M78" s="10" t="n"/>
      <c r="N78" s="34">
        <f>IF(A78="","",IF(OR(COUNTIF($A$8:$A$207,A78)&lt;&gt;1),"检查编号或关联","正常"))</f>
        <v/>
      </c>
    </row>
    <row r="79" ht="34" customHeight="1">
      <c r="A79" s="32" t="n"/>
      <c r="B79" s="33" t="n"/>
      <c r="C79" s="32" t="n"/>
      <c r="D79" s="10" t="n"/>
      <c r="E79" s="10" t="n"/>
      <c r="F79" s="10" t="n"/>
      <c r="G79" s="10" t="n"/>
      <c r="H79" s="10" t="n"/>
      <c r="I79" s="10" t="n"/>
      <c r="J79" s="10" t="n"/>
      <c r="K79" s="32" t="n"/>
      <c r="L79" s="10" t="n"/>
      <c r="M79" s="10" t="n"/>
      <c r="N79" s="34">
        <f>IF(A79="","",IF(OR(COUNTIF($A$8:$A$207,A79)&lt;&gt;1),"检查编号或关联","正常"))</f>
        <v/>
      </c>
    </row>
    <row r="80" ht="34" customHeight="1">
      <c r="A80" s="32" t="n"/>
      <c r="B80" s="33" t="n"/>
      <c r="C80" s="32" t="n"/>
      <c r="D80" s="10" t="n"/>
      <c r="E80" s="10" t="n"/>
      <c r="F80" s="10" t="n"/>
      <c r="G80" s="10" t="n"/>
      <c r="H80" s="10" t="n"/>
      <c r="I80" s="10" t="n"/>
      <c r="J80" s="10" t="n"/>
      <c r="K80" s="32" t="n"/>
      <c r="L80" s="10" t="n"/>
      <c r="M80" s="10" t="n"/>
      <c r="N80" s="34">
        <f>IF(A80="","",IF(OR(COUNTIF($A$8:$A$207,A80)&lt;&gt;1),"检查编号或关联","正常"))</f>
        <v/>
      </c>
    </row>
    <row r="81" ht="34" customHeight="1">
      <c r="A81" s="32" t="n"/>
      <c r="B81" s="33" t="n"/>
      <c r="C81" s="32" t="n"/>
      <c r="D81" s="10" t="n"/>
      <c r="E81" s="10" t="n"/>
      <c r="F81" s="10" t="n"/>
      <c r="G81" s="10" t="n"/>
      <c r="H81" s="10" t="n"/>
      <c r="I81" s="10" t="n"/>
      <c r="J81" s="10" t="n"/>
      <c r="K81" s="32" t="n"/>
      <c r="L81" s="10" t="n"/>
      <c r="M81" s="10" t="n"/>
      <c r="N81" s="34">
        <f>IF(A81="","",IF(OR(COUNTIF($A$8:$A$207,A81)&lt;&gt;1),"检查编号或关联","正常"))</f>
        <v/>
      </c>
    </row>
    <row r="82" ht="34" customHeight="1">
      <c r="A82" s="32" t="n"/>
      <c r="B82" s="33" t="n"/>
      <c r="C82" s="32" t="n"/>
      <c r="D82" s="10" t="n"/>
      <c r="E82" s="10" t="n"/>
      <c r="F82" s="10" t="n"/>
      <c r="G82" s="10" t="n"/>
      <c r="H82" s="10" t="n"/>
      <c r="I82" s="10" t="n"/>
      <c r="J82" s="10" t="n"/>
      <c r="K82" s="32" t="n"/>
      <c r="L82" s="10" t="n"/>
      <c r="M82" s="10" t="n"/>
      <c r="N82" s="34">
        <f>IF(A82="","",IF(OR(COUNTIF($A$8:$A$207,A82)&lt;&gt;1),"检查编号或关联","正常"))</f>
        <v/>
      </c>
    </row>
    <row r="83" ht="34" customHeight="1">
      <c r="A83" s="32" t="n"/>
      <c r="B83" s="33" t="n"/>
      <c r="C83" s="32" t="n"/>
      <c r="D83" s="10" t="n"/>
      <c r="E83" s="10" t="n"/>
      <c r="F83" s="10" t="n"/>
      <c r="G83" s="10" t="n"/>
      <c r="H83" s="10" t="n"/>
      <c r="I83" s="10" t="n"/>
      <c r="J83" s="10" t="n"/>
      <c r="K83" s="32" t="n"/>
      <c r="L83" s="10" t="n"/>
      <c r="M83" s="10" t="n"/>
      <c r="N83" s="34">
        <f>IF(A83="","",IF(OR(COUNTIF($A$8:$A$207,A83)&lt;&gt;1),"检查编号或关联","正常"))</f>
        <v/>
      </c>
    </row>
    <row r="84" ht="34" customHeight="1">
      <c r="A84" s="32" t="n"/>
      <c r="B84" s="33" t="n"/>
      <c r="C84" s="32" t="n"/>
      <c r="D84" s="10" t="n"/>
      <c r="E84" s="10" t="n"/>
      <c r="F84" s="10" t="n"/>
      <c r="G84" s="10" t="n"/>
      <c r="H84" s="10" t="n"/>
      <c r="I84" s="10" t="n"/>
      <c r="J84" s="10" t="n"/>
      <c r="K84" s="32" t="n"/>
      <c r="L84" s="10" t="n"/>
      <c r="M84" s="10" t="n"/>
      <c r="N84" s="34">
        <f>IF(A84="","",IF(OR(COUNTIF($A$8:$A$207,A84)&lt;&gt;1),"检查编号或关联","正常"))</f>
        <v/>
      </c>
    </row>
    <row r="85" ht="34" customHeight="1">
      <c r="A85" s="32" t="n"/>
      <c r="B85" s="33" t="n"/>
      <c r="C85" s="32" t="n"/>
      <c r="D85" s="10" t="n"/>
      <c r="E85" s="10" t="n"/>
      <c r="F85" s="10" t="n"/>
      <c r="G85" s="10" t="n"/>
      <c r="H85" s="10" t="n"/>
      <c r="I85" s="10" t="n"/>
      <c r="J85" s="10" t="n"/>
      <c r="K85" s="32" t="n"/>
      <c r="L85" s="10" t="n"/>
      <c r="M85" s="10" t="n"/>
      <c r="N85" s="34">
        <f>IF(A85="","",IF(OR(COUNTIF($A$8:$A$207,A85)&lt;&gt;1),"检查编号或关联","正常"))</f>
        <v/>
      </c>
    </row>
    <row r="86" ht="34" customHeight="1">
      <c r="A86" s="32" t="n"/>
      <c r="B86" s="33" t="n"/>
      <c r="C86" s="32" t="n"/>
      <c r="D86" s="10" t="n"/>
      <c r="E86" s="10" t="n"/>
      <c r="F86" s="10" t="n"/>
      <c r="G86" s="10" t="n"/>
      <c r="H86" s="10" t="n"/>
      <c r="I86" s="10" t="n"/>
      <c r="J86" s="10" t="n"/>
      <c r="K86" s="32" t="n"/>
      <c r="L86" s="10" t="n"/>
      <c r="M86" s="10" t="n"/>
      <c r="N86" s="34">
        <f>IF(A86="","",IF(OR(COUNTIF($A$8:$A$207,A86)&lt;&gt;1),"检查编号或关联","正常"))</f>
        <v/>
      </c>
    </row>
    <row r="87" ht="34" customHeight="1">
      <c r="A87" s="32" t="n"/>
      <c r="B87" s="33" t="n"/>
      <c r="C87" s="32" t="n"/>
      <c r="D87" s="10" t="n"/>
      <c r="E87" s="10" t="n"/>
      <c r="F87" s="10" t="n"/>
      <c r="G87" s="10" t="n"/>
      <c r="H87" s="10" t="n"/>
      <c r="I87" s="10" t="n"/>
      <c r="J87" s="10" t="n"/>
      <c r="K87" s="32" t="n"/>
      <c r="L87" s="10" t="n"/>
      <c r="M87" s="10" t="n"/>
      <c r="N87" s="34">
        <f>IF(A87="","",IF(OR(COUNTIF($A$8:$A$207,A87)&lt;&gt;1),"检查编号或关联","正常"))</f>
        <v/>
      </c>
    </row>
    <row r="88" ht="34" customHeight="1">
      <c r="A88" s="32" t="n"/>
      <c r="B88" s="33" t="n"/>
      <c r="C88" s="32" t="n"/>
      <c r="D88" s="10" t="n"/>
      <c r="E88" s="10" t="n"/>
      <c r="F88" s="10" t="n"/>
      <c r="G88" s="10" t="n"/>
      <c r="H88" s="10" t="n"/>
      <c r="I88" s="10" t="n"/>
      <c r="J88" s="10" t="n"/>
      <c r="K88" s="32" t="n"/>
      <c r="L88" s="10" t="n"/>
      <c r="M88" s="10" t="n"/>
      <c r="N88" s="34">
        <f>IF(A88="","",IF(OR(COUNTIF($A$8:$A$207,A88)&lt;&gt;1),"检查编号或关联","正常"))</f>
        <v/>
      </c>
    </row>
    <row r="89" ht="34" customHeight="1">
      <c r="A89" s="32" t="n"/>
      <c r="B89" s="33" t="n"/>
      <c r="C89" s="32" t="n"/>
      <c r="D89" s="10" t="n"/>
      <c r="E89" s="10" t="n"/>
      <c r="F89" s="10" t="n"/>
      <c r="G89" s="10" t="n"/>
      <c r="H89" s="10" t="n"/>
      <c r="I89" s="10" t="n"/>
      <c r="J89" s="10" t="n"/>
      <c r="K89" s="32" t="n"/>
      <c r="L89" s="10" t="n"/>
      <c r="M89" s="10" t="n"/>
      <c r="N89" s="34">
        <f>IF(A89="","",IF(OR(COUNTIF($A$8:$A$207,A89)&lt;&gt;1),"检查编号或关联","正常"))</f>
        <v/>
      </c>
    </row>
    <row r="90" ht="34" customHeight="1">
      <c r="A90" s="32" t="n"/>
      <c r="B90" s="33" t="n"/>
      <c r="C90" s="32" t="n"/>
      <c r="D90" s="10" t="n"/>
      <c r="E90" s="10" t="n"/>
      <c r="F90" s="10" t="n"/>
      <c r="G90" s="10" t="n"/>
      <c r="H90" s="10" t="n"/>
      <c r="I90" s="10" t="n"/>
      <c r="J90" s="10" t="n"/>
      <c r="K90" s="32" t="n"/>
      <c r="L90" s="10" t="n"/>
      <c r="M90" s="10" t="n"/>
      <c r="N90" s="34">
        <f>IF(A90="","",IF(OR(COUNTIF($A$8:$A$207,A90)&lt;&gt;1),"检查编号或关联","正常"))</f>
        <v/>
      </c>
    </row>
    <row r="91" ht="34" customHeight="1">
      <c r="A91" s="32" t="n"/>
      <c r="B91" s="33" t="n"/>
      <c r="C91" s="32" t="n"/>
      <c r="D91" s="10" t="n"/>
      <c r="E91" s="10" t="n"/>
      <c r="F91" s="10" t="n"/>
      <c r="G91" s="10" t="n"/>
      <c r="H91" s="10" t="n"/>
      <c r="I91" s="10" t="n"/>
      <c r="J91" s="10" t="n"/>
      <c r="K91" s="32" t="n"/>
      <c r="L91" s="10" t="n"/>
      <c r="M91" s="10" t="n"/>
      <c r="N91" s="34">
        <f>IF(A91="","",IF(OR(COUNTIF($A$8:$A$207,A91)&lt;&gt;1),"检查编号或关联","正常"))</f>
        <v/>
      </c>
    </row>
    <row r="92" ht="34" customHeight="1">
      <c r="A92" s="32" t="n"/>
      <c r="B92" s="33" t="n"/>
      <c r="C92" s="32" t="n"/>
      <c r="D92" s="10" t="n"/>
      <c r="E92" s="10" t="n"/>
      <c r="F92" s="10" t="n"/>
      <c r="G92" s="10" t="n"/>
      <c r="H92" s="10" t="n"/>
      <c r="I92" s="10" t="n"/>
      <c r="J92" s="10" t="n"/>
      <c r="K92" s="32" t="n"/>
      <c r="L92" s="10" t="n"/>
      <c r="M92" s="10" t="n"/>
      <c r="N92" s="34">
        <f>IF(A92="","",IF(OR(COUNTIF($A$8:$A$207,A92)&lt;&gt;1),"检查编号或关联","正常"))</f>
        <v/>
      </c>
    </row>
    <row r="93" ht="34" customHeight="1">
      <c r="A93" s="32" t="n"/>
      <c r="B93" s="33" t="n"/>
      <c r="C93" s="32" t="n"/>
      <c r="D93" s="10" t="n"/>
      <c r="E93" s="10" t="n"/>
      <c r="F93" s="10" t="n"/>
      <c r="G93" s="10" t="n"/>
      <c r="H93" s="10" t="n"/>
      <c r="I93" s="10" t="n"/>
      <c r="J93" s="10" t="n"/>
      <c r="K93" s="32" t="n"/>
      <c r="L93" s="10" t="n"/>
      <c r="M93" s="10" t="n"/>
      <c r="N93" s="34">
        <f>IF(A93="","",IF(OR(COUNTIF($A$8:$A$207,A93)&lt;&gt;1),"检查编号或关联","正常"))</f>
        <v/>
      </c>
    </row>
    <row r="94" ht="34" customHeight="1">
      <c r="A94" s="32" t="n"/>
      <c r="B94" s="33" t="n"/>
      <c r="C94" s="32" t="n"/>
      <c r="D94" s="10" t="n"/>
      <c r="E94" s="10" t="n"/>
      <c r="F94" s="10" t="n"/>
      <c r="G94" s="10" t="n"/>
      <c r="H94" s="10" t="n"/>
      <c r="I94" s="10" t="n"/>
      <c r="J94" s="10" t="n"/>
      <c r="K94" s="32" t="n"/>
      <c r="L94" s="10" t="n"/>
      <c r="M94" s="10" t="n"/>
      <c r="N94" s="34">
        <f>IF(A94="","",IF(OR(COUNTIF($A$8:$A$207,A94)&lt;&gt;1),"检查编号或关联","正常"))</f>
        <v/>
      </c>
    </row>
    <row r="95" ht="34" customHeight="1">
      <c r="A95" s="32" t="n"/>
      <c r="B95" s="33" t="n"/>
      <c r="C95" s="32" t="n"/>
      <c r="D95" s="10" t="n"/>
      <c r="E95" s="10" t="n"/>
      <c r="F95" s="10" t="n"/>
      <c r="G95" s="10" t="n"/>
      <c r="H95" s="10" t="n"/>
      <c r="I95" s="10" t="n"/>
      <c r="J95" s="10" t="n"/>
      <c r="K95" s="32" t="n"/>
      <c r="L95" s="10" t="n"/>
      <c r="M95" s="10" t="n"/>
      <c r="N95" s="34">
        <f>IF(A95="","",IF(OR(COUNTIF($A$8:$A$207,A95)&lt;&gt;1),"检查编号或关联","正常"))</f>
        <v/>
      </c>
    </row>
    <row r="96" ht="34" customHeight="1">
      <c r="A96" s="32" t="n"/>
      <c r="B96" s="33" t="n"/>
      <c r="C96" s="32" t="n"/>
      <c r="D96" s="10" t="n"/>
      <c r="E96" s="10" t="n"/>
      <c r="F96" s="10" t="n"/>
      <c r="G96" s="10" t="n"/>
      <c r="H96" s="10" t="n"/>
      <c r="I96" s="10" t="n"/>
      <c r="J96" s="10" t="n"/>
      <c r="K96" s="32" t="n"/>
      <c r="L96" s="10" t="n"/>
      <c r="M96" s="10" t="n"/>
      <c r="N96" s="34">
        <f>IF(A96="","",IF(OR(COUNTIF($A$8:$A$207,A96)&lt;&gt;1),"检查编号或关联","正常"))</f>
        <v/>
      </c>
    </row>
    <row r="97" ht="34" customHeight="1">
      <c r="A97" s="32" t="n"/>
      <c r="B97" s="33" t="n"/>
      <c r="C97" s="32" t="n"/>
      <c r="D97" s="10" t="n"/>
      <c r="E97" s="10" t="n"/>
      <c r="F97" s="10" t="n"/>
      <c r="G97" s="10" t="n"/>
      <c r="H97" s="10" t="n"/>
      <c r="I97" s="10" t="n"/>
      <c r="J97" s="10" t="n"/>
      <c r="K97" s="32" t="n"/>
      <c r="L97" s="10" t="n"/>
      <c r="M97" s="10" t="n"/>
      <c r="N97" s="34">
        <f>IF(A97="","",IF(OR(COUNTIF($A$8:$A$207,A97)&lt;&gt;1),"检查编号或关联","正常"))</f>
        <v/>
      </c>
    </row>
    <row r="98" ht="34" customHeight="1">
      <c r="A98" s="32" t="n"/>
      <c r="B98" s="33" t="n"/>
      <c r="C98" s="32" t="n"/>
      <c r="D98" s="10" t="n"/>
      <c r="E98" s="10" t="n"/>
      <c r="F98" s="10" t="n"/>
      <c r="G98" s="10" t="n"/>
      <c r="H98" s="10" t="n"/>
      <c r="I98" s="10" t="n"/>
      <c r="J98" s="10" t="n"/>
      <c r="K98" s="32" t="n"/>
      <c r="L98" s="10" t="n"/>
      <c r="M98" s="10" t="n"/>
      <c r="N98" s="34">
        <f>IF(A98="","",IF(OR(COUNTIF($A$8:$A$207,A98)&lt;&gt;1),"检查编号或关联","正常"))</f>
        <v/>
      </c>
    </row>
    <row r="99" ht="34" customHeight="1">
      <c r="A99" s="32" t="n"/>
      <c r="B99" s="33" t="n"/>
      <c r="C99" s="32" t="n"/>
      <c r="D99" s="10" t="n"/>
      <c r="E99" s="10" t="n"/>
      <c r="F99" s="10" t="n"/>
      <c r="G99" s="10" t="n"/>
      <c r="H99" s="10" t="n"/>
      <c r="I99" s="10" t="n"/>
      <c r="J99" s="10" t="n"/>
      <c r="K99" s="32" t="n"/>
      <c r="L99" s="10" t="n"/>
      <c r="M99" s="10" t="n"/>
      <c r="N99" s="34">
        <f>IF(A99="","",IF(OR(COUNTIF($A$8:$A$207,A99)&lt;&gt;1),"检查编号或关联","正常"))</f>
        <v/>
      </c>
    </row>
    <row r="100" ht="34" customHeight="1">
      <c r="A100" s="32" t="n"/>
      <c r="B100" s="33" t="n"/>
      <c r="C100" s="32" t="n"/>
      <c r="D100" s="10" t="n"/>
      <c r="E100" s="10" t="n"/>
      <c r="F100" s="10" t="n"/>
      <c r="G100" s="10" t="n"/>
      <c r="H100" s="10" t="n"/>
      <c r="I100" s="10" t="n"/>
      <c r="J100" s="10" t="n"/>
      <c r="K100" s="32" t="n"/>
      <c r="L100" s="10" t="n"/>
      <c r="M100" s="10" t="n"/>
      <c r="N100" s="34">
        <f>IF(A100="","",IF(OR(COUNTIF($A$8:$A$207,A100)&lt;&gt;1),"检查编号或关联","正常"))</f>
        <v/>
      </c>
    </row>
    <row r="101" ht="34" customHeight="1">
      <c r="A101" s="32" t="n"/>
      <c r="B101" s="33" t="n"/>
      <c r="C101" s="32" t="n"/>
      <c r="D101" s="10" t="n"/>
      <c r="E101" s="10" t="n"/>
      <c r="F101" s="10" t="n"/>
      <c r="G101" s="10" t="n"/>
      <c r="H101" s="10" t="n"/>
      <c r="I101" s="10" t="n"/>
      <c r="J101" s="10" t="n"/>
      <c r="K101" s="32" t="n"/>
      <c r="L101" s="10" t="n"/>
      <c r="M101" s="10" t="n"/>
      <c r="N101" s="34">
        <f>IF(A101="","",IF(OR(COUNTIF($A$8:$A$207,A101)&lt;&gt;1),"检查编号或关联","正常"))</f>
        <v/>
      </c>
    </row>
    <row r="102" ht="34" customHeight="1">
      <c r="A102" s="32" t="n"/>
      <c r="B102" s="33" t="n"/>
      <c r="C102" s="32" t="n"/>
      <c r="D102" s="10" t="n"/>
      <c r="E102" s="10" t="n"/>
      <c r="F102" s="10" t="n"/>
      <c r="G102" s="10" t="n"/>
      <c r="H102" s="10" t="n"/>
      <c r="I102" s="10" t="n"/>
      <c r="J102" s="10" t="n"/>
      <c r="K102" s="32" t="n"/>
      <c r="L102" s="10" t="n"/>
      <c r="M102" s="10" t="n"/>
      <c r="N102" s="34">
        <f>IF(A102="","",IF(OR(COUNTIF($A$8:$A$207,A102)&lt;&gt;1),"检查编号或关联","正常"))</f>
        <v/>
      </c>
    </row>
    <row r="103" ht="34" customHeight="1">
      <c r="A103" s="32" t="n"/>
      <c r="B103" s="33" t="n"/>
      <c r="C103" s="32" t="n"/>
      <c r="D103" s="10" t="n"/>
      <c r="E103" s="10" t="n"/>
      <c r="F103" s="10" t="n"/>
      <c r="G103" s="10" t="n"/>
      <c r="H103" s="10" t="n"/>
      <c r="I103" s="10" t="n"/>
      <c r="J103" s="10" t="n"/>
      <c r="K103" s="32" t="n"/>
      <c r="L103" s="10" t="n"/>
      <c r="M103" s="10" t="n"/>
      <c r="N103" s="34">
        <f>IF(A103="","",IF(OR(COUNTIF($A$8:$A$207,A103)&lt;&gt;1),"检查编号或关联","正常"))</f>
        <v/>
      </c>
    </row>
    <row r="104" ht="34" customHeight="1">
      <c r="A104" s="32" t="n"/>
      <c r="B104" s="33" t="n"/>
      <c r="C104" s="32" t="n"/>
      <c r="D104" s="10" t="n"/>
      <c r="E104" s="10" t="n"/>
      <c r="F104" s="10" t="n"/>
      <c r="G104" s="10" t="n"/>
      <c r="H104" s="10" t="n"/>
      <c r="I104" s="10" t="n"/>
      <c r="J104" s="10" t="n"/>
      <c r="K104" s="32" t="n"/>
      <c r="L104" s="10" t="n"/>
      <c r="M104" s="10" t="n"/>
      <c r="N104" s="34">
        <f>IF(A104="","",IF(OR(COUNTIF($A$8:$A$207,A104)&lt;&gt;1),"检查编号或关联","正常"))</f>
        <v/>
      </c>
    </row>
    <row r="105" ht="34" customHeight="1">
      <c r="A105" s="32" t="n"/>
      <c r="B105" s="33" t="n"/>
      <c r="C105" s="32" t="n"/>
      <c r="D105" s="10" t="n"/>
      <c r="E105" s="10" t="n"/>
      <c r="F105" s="10" t="n"/>
      <c r="G105" s="10" t="n"/>
      <c r="H105" s="10" t="n"/>
      <c r="I105" s="10" t="n"/>
      <c r="J105" s="10" t="n"/>
      <c r="K105" s="32" t="n"/>
      <c r="L105" s="10" t="n"/>
      <c r="M105" s="10" t="n"/>
      <c r="N105" s="34">
        <f>IF(A105="","",IF(OR(COUNTIF($A$8:$A$207,A105)&lt;&gt;1),"检查编号或关联","正常"))</f>
        <v/>
      </c>
    </row>
    <row r="106" ht="34" customHeight="1">
      <c r="A106" s="32" t="n"/>
      <c r="B106" s="33" t="n"/>
      <c r="C106" s="32" t="n"/>
      <c r="D106" s="10" t="n"/>
      <c r="E106" s="10" t="n"/>
      <c r="F106" s="10" t="n"/>
      <c r="G106" s="10" t="n"/>
      <c r="H106" s="10" t="n"/>
      <c r="I106" s="10" t="n"/>
      <c r="J106" s="10" t="n"/>
      <c r="K106" s="32" t="n"/>
      <c r="L106" s="10" t="n"/>
      <c r="M106" s="10" t="n"/>
      <c r="N106" s="34">
        <f>IF(A106="","",IF(OR(COUNTIF($A$8:$A$207,A106)&lt;&gt;1),"检查编号或关联","正常"))</f>
        <v/>
      </c>
    </row>
    <row r="107" ht="34" customHeight="1">
      <c r="A107" s="32" t="n"/>
      <c r="B107" s="33" t="n"/>
      <c r="C107" s="32" t="n"/>
      <c r="D107" s="10" t="n"/>
      <c r="E107" s="10" t="n"/>
      <c r="F107" s="10" t="n"/>
      <c r="G107" s="10" t="n"/>
      <c r="H107" s="10" t="n"/>
      <c r="I107" s="10" t="n"/>
      <c r="J107" s="10" t="n"/>
      <c r="K107" s="32" t="n"/>
      <c r="L107" s="10" t="n"/>
      <c r="M107" s="10" t="n"/>
      <c r="N107" s="34">
        <f>IF(A107="","",IF(OR(COUNTIF($A$8:$A$207,A107)&lt;&gt;1),"检查编号或关联","正常"))</f>
        <v/>
      </c>
    </row>
    <row r="108" ht="34" customHeight="1">
      <c r="A108" s="32" t="n"/>
      <c r="B108" s="33" t="n"/>
      <c r="C108" s="32" t="n"/>
      <c r="D108" s="10" t="n"/>
      <c r="E108" s="10" t="n"/>
      <c r="F108" s="10" t="n"/>
      <c r="G108" s="10" t="n"/>
      <c r="H108" s="10" t="n"/>
      <c r="I108" s="10" t="n"/>
      <c r="J108" s="10" t="n"/>
      <c r="K108" s="32" t="n"/>
      <c r="L108" s="10" t="n"/>
      <c r="M108" s="10" t="n"/>
      <c r="N108" s="34">
        <f>IF(A108="","",IF(OR(COUNTIF($A$8:$A$207,A108)&lt;&gt;1),"检查编号或关联","正常"))</f>
        <v/>
      </c>
    </row>
    <row r="109" ht="34" customHeight="1">
      <c r="A109" s="32" t="n"/>
      <c r="B109" s="33" t="n"/>
      <c r="C109" s="32" t="n"/>
      <c r="D109" s="10" t="n"/>
      <c r="E109" s="10" t="n"/>
      <c r="F109" s="10" t="n"/>
      <c r="G109" s="10" t="n"/>
      <c r="H109" s="10" t="n"/>
      <c r="I109" s="10" t="n"/>
      <c r="J109" s="10" t="n"/>
      <c r="K109" s="32" t="n"/>
      <c r="L109" s="10" t="n"/>
      <c r="M109" s="10" t="n"/>
      <c r="N109" s="34">
        <f>IF(A109="","",IF(OR(COUNTIF($A$8:$A$207,A109)&lt;&gt;1),"检查编号或关联","正常"))</f>
        <v/>
      </c>
    </row>
    <row r="110" ht="34" customHeight="1">
      <c r="A110" s="32" t="n"/>
      <c r="B110" s="33" t="n"/>
      <c r="C110" s="32" t="n"/>
      <c r="D110" s="10" t="n"/>
      <c r="E110" s="10" t="n"/>
      <c r="F110" s="10" t="n"/>
      <c r="G110" s="10" t="n"/>
      <c r="H110" s="10" t="n"/>
      <c r="I110" s="10" t="n"/>
      <c r="J110" s="10" t="n"/>
      <c r="K110" s="32" t="n"/>
      <c r="L110" s="10" t="n"/>
      <c r="M110" s="10" t="n"/>
      <c r="N110" s="34">
        <f>IF(A110="","",IF(OR(COUNTIF($A$8:$A$207,A110)&lt;&gt;1),"检查编号或关联","正常"))</f>
        <v/>
      </c>
    </row>
    <row r="111" ht="34" customHeight="1">
      <c r="A111" s="32" t="n"/>
      <c r="B111" s="33" t="n"/>
      <c r="C111" s="32" t="n"/>
      <c r="D111" s="10" t="n"/>
      <c r="E111" s="10" t="n"/>
      <c r="F111" s="10" t="n"/>
      <c r="G111" s="10" t="n"/>
      <c r="H111" s="10" t="n"/>
      <c r="I111" s="10" t="n"/>
      <c r="J111" s="10" t="n"/>
      <c r="K111" s="32" t="n"/>
      <c r="L111" s="10" t="n"/>
      <c r="M111" s="10" t="n"/>
      <c r="N111" s="34">
        <f>IF(A111="","",IF(OR(COUNTIF($A$8:$A$207,A111)&lt;&gt;1),"检查编号或关联","正常"))</f>
        <v/>
      </c>
    </row>
    <row r="112" ht="34" customHeight="1">
      <c r="A112" s="32" t="n"/>
      <c r="B112" s="33" t="n"/>
      <c r="C112" s="32" t="n"/>
      <c r="D112" s="10" t="n"/>
      <c r="E112" s="10" t="n"/>
      <c r="F112" s="10" t="n"/>
      <c r="G112" s="10" t="n"/>
      <c r="H112" s="10" t="n"/>
      <c r="I112" s="10" t="n"/>
      <c r="J112" s="10" t="n"/>
      <c r="K112" s="32" t="n"/>
      <c r="L112" s="10" t="n"/>
      <c r="M112" s="10" t="n"/>
      <c r="N112" s="34">
        <f>IF(A112="","",IF(OR(COUNTIF($A$8:$A$207,A112)&lt;&gt;1),"检查编号或关联","正常"))</f>
        <v/>
      </c>
    </row>
    <row r="113" ht="34" customHeight="1">
      <c r="A113" s="32" t="n"/>
      <c r="B113" s="33" t="n"/>
      <c r="C113" s="32" t="n"/>
      <c r="D113" s="10" t="n"/>
      <c r="E113" s="10" t="n"/>
      <c r="F113" s="10" t="n"/>
      <c r="G113" s="10" t="n"/>
      <c r="H113" s="10" t="n"/>
      <c r="I113" s="10" t="n"/>
      <c r="J113" s="10" t="n"/>
      <c r="K113" s="32" t="n"/>
      <c r="L113" s="10" t="n"/>
      <c r="M113" s="10" t="n"/>
      <c r="N113" s="34">
        <f>IF(A113="","",IF(OR(COUNTIF($A$8:$A$207,A113)&lt;&gt;1),"检查编号或关联","正常"))</f>
        <v/>
      </c>
    </row>
    <row r="114" ht="34" customHeight="1">
      <c r="A114" s="32" t="n"/>
      <c r="B114" s="33" t="n"/>
      <c r="C114" s="32" t="n"/>
      <c r="D114" s="10" t="n"/>
      <c r="E114" s="10" t="n"/>
      <c r="F114" s="10" t="n"/>
      <c r="G114" s="10" t="n"/>
      <c r="H114" s="10" t="n"/>
      <c r="I114" s="10" t="n"/>
      <c r="J114" s="10" t="n"/>
      <c r="K114" s="32" t="n"/>
      <c r="L114" s="10" t="n"/>
      <c r="M114" s="10" t="n"/>
      <c r="N114" s="34">
        <f>IF(A114="","",IF(OR(COUNTIF($A$8:$A$207,A114)&lt;&gt;1),"检查编号或关联","正常"))</f>
        <v/>
      </c>
    </row>
    <row r="115" ht="34" customHeight="1">
      <c r="A115" s="32" t="n"/>
      <c r="B115" s="33" t="n"/>
      <c r="C115" s="32" t="n"/>
      <c r="D115" s="10" t="n"/>
      <c r="E115" s="10" t="n"/>
      <c r="F115" s="10" t="n"/>
      <c r="G115" s="10" t="n"/>
      <c r="H115" s="10" t="n"/>
      <c r="I115" s="10" t="n"/>
      <c r="J115" s="10" t="n"/>
      <c r="K115" s="32" t="n"/>
      <c r="L115" s="10" t="n"/>
      <c r="M115" s="10" t="n"/>
      <c r="N115" s="34">
        <f>IF(A115="","",IF(OR(COUNTIF($A$8:$A$207,A115)&lt;&gt;1),"检查编号或关联","正常"))</f>
        <v/>
      </c>
    </row>
    <row r="116" ht="34" customHeight="1">
      <c r="A116" s="32" t="n"/>
      <c r="B116" s="33" t="n"/>
      <c r="C116" s="32" t="n"/>
      <c r="D116" s="10" t="n"/>
      <c r="E116" s="10" t="n"/>
      <c r="F116" s="10" t="n"/>
      <c r="G116" s="10" t="n"/>
      <c r="H116" s="10" t="n"/>
      <c r="I116" s="10" t="n"/>
      <c r="J116" s="10" t="n"/>
      <c r="K116" s="32" t="n"/>
      <c r="L116" s="10" t="n"/>
      <c r="M116" s="10" t="n"/>
      <c r="N116" s="34">
        <f>IF(A116="","",IF(OR(COUNTIF($A$8:$A$207,A116)&lt;&gt;1),"检查编号或关联","正常"))</f>
        <v/>
      </c>
    </row>
    <row r="117" ht="34" customHeight="1">
      <c r="A117" s="32" t="n"/>
      <c r="B117" s="33" t="n"/>
      <c r="C117" s="32" t="n"/>
      <c r="D117" s="10" t="n"/>
      <c r="E117" s="10" t="n"/>
      <c r="F117" s="10" t="n"/>
      <c r="G117" s="10" t="n"/>
      <c r="H117" s="10" t="n"/>
      <c r="I117" s="10" t="n"/>
      <c r="J117" s="10" t="n"/>
      <c r="K117" s="32" t="n"/>
      <c r="L117" s="10" t="n"/>
      <c r="M117" s="10" t="n"/>
      <c r="N117" s="34">
        <f>IF(A117="","",IF(OR(COUNTIF($A$8:$A$207,A117)&lt;&gt;1),"检查编号或关联","正常"))</f>
        <v/>
      </c>
    </row>
    <row r="118" ht="34" customHeight="1">
      <c r="A118" s="32" t="n"/>
      <c r="B118" s="33" t="n"/>
      <c r="C118" s="32" t="n"/>
      <c r="D118" s="10" t="n"/>
      <c r="E118" s="10" t="n"/>
      <c r="F118" s="10" t="n"/>
      <c r="G118" s="10" t="n"/>
      <c r="H118" s="10" t="n"/>
      <c r="I118" s="10" t="n"/>
      <c r="J118" s="10" t="n"/>
      <c r="K118" s="32" t="n"/>
      <c r="L118" s="10" t="n"/>
      <c r="M118" s="10" t="n"/>
      <c r="N118" s="34">
        <f>IF(A118="","",IF(OR(COUNTIF($A$8:$A$207,A118)&lt;&gt;1),"检查编号或关联","正常"))</f>
        <v/>
      </c>
    </row>
    <row r="119" ht="34" customHeight="1">
      <c r="A119" s="32" t="n"/>
      <c r="B119" s="33" t="n"/>
      <c r="C119" s="32" t="n"/>
      <c r="D119" s="10" t="n"/>
      <c r="E119" s="10" t="n"/>
      <c r="F119" s="10" t="n"/>
      <c r="G119" s="10" t="n"/>
      <c r="H119" s="10" t="n"/>
      <c r="I119" s="10" t="n"/>
      <c r="J119" s="10" t="n"/>
      <c r="K119" s="32" t="n"/>
      <c r="L119" s="10" t="n"/>
      <c r="M119" s="10" t="n"/>
      <c r="N119" s="34">
        <f>IF(A119="","",IF(OR(COUNTIF($A$8:$A$207,A119)&lt;&gt;1),"检查编号或关联","正常"))</f>
        <v/>
      </c>
    </row>
    <row r="120" ht="34" customHeight="1">
      <c r="A120" s="32" t="n"/>
      <c r="B120" s="33" t="n"/>
      <c r="C120" s="32" t="n"/>
      <c r="D120" s="10" t="n"/>
      <c r="E120" s="10" t="n"/>
      <c r="F120" s="10" t="n"/>
      <c r="G120" s="10" t="n"/>
      <c r="H120" s="10" t="n"/>
      <c r="I120" s="10" t="n"/>
      <c r="J120" s="10" t="n"/>
      <c r="K120" s="32" t="n"/>
      <c r="L120" s="10" t="n"/>
      <c r="M120" s="10" t="n"/>
      <c r="N120" s="34">
        <f>IF(A120="","",IF(OR(COUNTIF($A$8:$A$207,A120)&lt;&gt;1),"检查编号或关联","正常"))</f>
        <v/>
      </c>
    </row>
    <row r="121" ht="34" customHeight="1">
      <c r="A121" s="32" t="n"/>
      <c r="B121" s="33" t="n"/>
      <c r="C121" s="32" t="n"/>
      <c r="D121" s="10" t="n"/>
      <c r="E121" s="10" t="n"/>
      <c r="F121" s="10" t="n"/>
      <c r="G121" s="10" t="n"/>
      <c r="H121" s="10" t="n"/>
      <c r="I121" s="10" t="n"/>
      <c r="J121" s="10" t="n"/>
      <c r="K121" s="32" t="n"/>
      <c r="L121" s="10" t="n"/>
      <c r="M121" s="10" t="n"/>
      <c r="N121" s="34">
        <f>IF(A121="","",IF(OR(COUNTIF($A$8:$A$207,A121)&lt;&gt;1),"检查编号或关联","正常"))</f>
        <v/>
      </c>
    </row>
    <row r="122" ht="34" customHeight="1">
      <c r="A122" s="32" t="n"/>
      <c r="B122" s="33" t="n"/>
      <c r="C122" s="32" t="n"/>
      <c r="D122" s="10" t="n"/>
      <c r="E122" s="10" t="n"/>
      <c r="F122" s="10" t="n"/>
      <c r="G122" s="10" t="n"/>
      <c r="H122" s="10" t="n"/>
      <c r="I122" s="10" t="n"/>
      <c r="J122" s="10" t="n"/>
      <c r="K122" s="32" t="n"/>
      <c r="L122" s="10" t="n"/>
      <c r="M122" s="10" t="n"/>
      <c r="N122" s="34">
        <f>IF(A122="","",IF(OR(COUNTIF($A$8:$A$207,A122)&lt;&gt;1),"检查编号或关联","正常"))</f>
        <v/>
      </c>
    </row>
    <row r="123" ht="34" customHeight="1">
      <c r="A123" s="32" t="n"/>
      <c r="B123" s="33" t="n"/>
      <c r="C123" s="32" t="n"/>
      <c r="D123" s="10" t="n"/>
      <c r="E123" s="10" t="n"/>
      <c r="F123" s="10" t="n"/>
      <c r="G123" s="10" t="n"/>
      <c r="H123" s="10" t="n"/>
      <c r="I123" s="10" t="n"/>
      <c r="J123" s="10" t="n"/>
      <c r="K123" s="32" t="n"/>
      <c r="L123" s="10" t="n"/>
      <c r="M123" s="10" t="n"/>
      <c r="N123" s="34">
        <f>IF(A123="","",IF(OR(COUNTIF($A$8:$A$207,A123)&lt;&gt;1),"检查编号或关联","正常"))</f>
        <v/>
      </c>
    </row>
    <row r="124" ht="34" customHeight="1">
      <c r="A124" s="32" t="n"/>
      <c r="B124" s="33" t="n"/>
      <c r="C124" s="32" t="n"/>
      <c r="D124" s="10" t="n"/>
      <c r="E124" s="10" t="n"/>
      <c r="F124" s="10" t="n"/>
      <c r="G124" s="10" t="n"/>
      <c r="H124" s="10" t="n"/>
      <c r="I124" s="10" t="n"/>
      <c r="J124" s="10" t="n"/>
      <c r="K124" s="32" t="n"/>
      <c r="L124" s="10" t="n"/>
      <c r="M124" s="10" t="n"/>
      <c r="N124" s="34">
        <f>IF(A124="","",IF(OR(COUNTIF($A$8:$A$207,A124)&lt;&gt;1),"检查编号或关联","正常"))</f>
        <v/>
      </c>
    </row>
    <row r="125" ht="34" customHeight="1">
      <c r="A125" s="32" t="n"/>
      <c r="B125" s="33" t="n"/>
      <c r="C125" s="32" t="n"/>
      <c r="D125" s="10" t="n"/>
      <c r="E125" s="10" t="n"/>
      <c r="F125" s="10" t="n"/>
      <c r="G125" s="10" t="n"/>
      <c r="H125" s="10" t="n"/>
      <c r="I125" s="10" t="n"/>
      <c r="J125" s="10" t="n"/>
      <c r="K125" s="32" t="n"/>
      <c r="L125" s="10" t="n"/>
      <c r="M125" s="10" t="n"/>
      <c r="N125" s="34">
        <f>IF(A125="","",IF(OR(COUNTIF($A$8:$A$207,A125)&lt;&gt;1),"检查编号或关联","正常"))</f>
        <v/>
      </c>
    </row>
    <row r="126" ht="34" customHeight="1">
      <c r="A126" s="32" t="n"/>
      <c r="B126" s="33" t="n"/>
      <c r="C126" s="32" t="n"/>
      <c r="D126" s="10" t="n"/>
      <c r="E126" s="10" t="n"/>
      <c r="F126" s="10" t="n"/>
      <c r="G126" s="10" t="n"/>
      <c r="H126" s="10" t="n"/>
      <c r="I126" s="10" t="n"/>
      <c r="J126" s="10" t="n"/>
      <c r="K126" s="32" t="n"/>
      <c r="L126" s="10" t="n"/>
      <c r="M126" s="10" t="n"/>
      <c r="N126" s="34">
        <f>IF(A126="","",IF(OR(COUNTIF($A$8:$A$207,A126)&lt;&gt;1),"检查编号或关联","正常"))</f>
        <v/>
      </c>
    </row>
    <row r="127" ht="34" customHeight="1">
      <c r="A127" s="32" t="n"/>
      <c r="B127" s="33" t="n"/>
      <c r="C127" s="32" t="n"/>
      <c r="D127" s="10" t="n"/>
      <c r="E127" s="10" t="n"/>
      <c r="F127" s="10" t="n"/>
      <c r="G127" s="10" t="n"/>
      <c r="H127" s="10" t="n"/>
      <c r="I127" s="10" t="n"/>
      <c r="J127" s="10" t="n"/>
      <c r="K127" s="32" t="n"/>
      <c r="L127" s="10" t="n"/>
      <c r="M127" s="10" t="n"/>
      <c r="N127" s="34">
        <f>IF(A127="","",IF(OR(COUNTIF($A$8:$A$207,A127)&lt;&gt;1),"检查编号或关联","正常"))</f>
        <v/>
      </c>
    </row>
    <row r="128" ht="34" customHeight="1">
      <c r="A128" s="32" t="n"/>
      <c r="B128" s="33" t="n"/>
      <c r="C128" s="32" t="n"/>
      <c r="D128" s="10" t="n"/>
      <c r="E128" s="10" t="n"/>
      <c r="F128" s="10" t="n"/>
      <c r="G128" s="10" t="n"/>
      <c r="H128" s="10" t="n"/>
      <c r="I128" s="10" t="n"/>
      <c r="J128" s="10" t="n"/>
      <c r="K128" s="32" t="n"/>
      <c r="L128" s="10" t="n"/>
      <c r="M128" s="10" t="n"/>
      <c r="N128" s="34">
        <f>IF(A128="","",IF(OR(COUNTIF($A$8:$A$207,A128)&lt;&gt;1),"检查编号或关联","正常"))</f>
        <v/>
      </c>
    </row>
    <row r="129" ht="34" customHeight="1">
      <c r="A129" s="32" t="n"/>
      <c r="B129" s="33" t="n"/>
      <c r="C129" s="32" t="n"/>
      <c r="D129" s="10" t="n"/>
      <c r="E129" s="10" t="n"/>
      <c r="F129" s="10" t="n"/>
      <c r="G129" s="10" t="n"/>
      <c r="H129" s="10" t="n"/>
      <c r="I129" s="10" t="n"/>
      <c r="J129" s="10" t="n"/>
      <c r="K129" s="32" t="n"/>
      <c r="L129" s="10" t="n"/>
      <c r="M129" s="10" t="n"/>
      <c r="N129" s="34">
        <f>IF(A129="","",IF(OR(COUNTIF($A$8:$A$207,A129)&lt;&gt;1),"检查编号或关联","正常"))</f>
        <v/>
      </c>
    </row>
    <row r="130" ht="34" customHeight="1">
      <c r="A130" s="32" t="n"/>
      <c r="B130" s="33" t="n"/>
      <c r="C130" s="32" t="n"/>
      <c r="D130" s="10" t="n"/>
      <c r="E130" s="10" t="n"/>
      <c r="F130" s="10" t="n"/>
      <c r="G130" s="10" t="n"/>
      <c r="H130" s="10" t="n"/>
      <c r="I130" s="10" t="n"/>
      <c r="J130" s="10" t="n"/>
      <c r="K130" s="32" t="n"/>
      <c r="L130" s="10" t="n"/>
      <c r="M130" s="10" t="n"/>
      <c r="N130" s="34">
        <f>IF(A130="","",IF(OR(COUNTIF($A$8:$A$207,A130)&lt;&gt;1),"检查编号或关联","正常"))</f>
        <v/>
      </c>
    </row>
    <row r="131" ht="34" customHeight="1">
      <c r="A131" s="32" t="n"/>
      <c r="B131" s="33" t="n"/>
      <c r="C131" s="32" t="n"/>
      <c r="D131" s="10" t="n"/>
      <c r="E131" s="10" t="n"/>
      <c r="F131" s="10" t="n"/>
      <c r="G131" s="10" t="n"/>
      <c r="H131" s="10" t="n"/>
      <c r="I131" s="10" t="n"/>
      <c r="J131" s="10" t="n"/>
      <c r="K131" s="32" t="n"/>
      <c r="L131" s="10" t="n"/>
      <c r="M131" s="10" t="n"/>
      <c r="N131" s="34">
        <f>IF(A131="","",IF(OR(COUNTIF($A$8:$A$207,A131)&lt;&gt;1),"检查编号或关联","正常"))</f>
        <v/>
      </c>
    </row>
    <row r="132" ht="34" customHeight="1">
      <c r="A132" s="32" t="n"/>
      <c r="B132" s="33" t="n"/>
      <c r="C132" s="32" t="n"/>
      <c r="D132" s="10" t="n"/>
      <c r="E132" s="10" t="n"/>
      <c r="F132" s="10" t="n"/>
      <c r="G132" s="10" t="n"/>
      <c r="H132" s="10" t="n"/>
      <c r="I132" s="10" t="n"/>
      <c r="J132" s="10" t="n"/>
      <c r="K132" s="32" t="n"/>
      <c r="L132" s="10" t="n"/>
      <c r="M132" s="10" t="n"/>
      <c r="N132" s="34">
        <f>IF(A132="","",IF(OR(COUNTIF($A$8:$A$207,A132)&lt;&gt;1),"检查编号或关联","正常"))</f>
        <v/>
      </c>
    </row>
    <row r="133" ht="34" customHeight="1">
      <c r="A133" s="32" t="n"/>
      <c r="B133" s="33" t="n"/>
      <c r="C133" s="32" t="n"/>
      <c r="D133" s="10" t="n"/>
      <c r="E133" s="10" t="n"/>
      <c r="F133" s="10" t="n"/>
      <c r="G133" s="10" t="n"/>
      <c r="H133" s="10" t="n"/>
      <c r="I133" s="10" t="n"/>
      <c r="J133" s="10" t="n"/>
      <c r="K133" s="32" t="n"/>
      <c r="L133" s="10" t="n"/>
      <c r="M133" s="10" t="n"/>
      <c r="N133" s="34">
        <f>IF(A133="","",IF(OR(COUNTIF($A$8:$A$207,A133)&lt;&gt;1),"检查编号或关联","正常"))</f>
        <v/>
      </c>
    </row>
    <row r="134" ht="34" customHeight="1">
      <c r="A134" s="32" t="n"/>
      <c r="B134" s="33" t="n"/>
      <c r="C134" s="32" t="n"/>
      <c r="D134" s="10" t="n"/>
      <c r="E134" s="10" t="n"/>
      <c r="F134" s="10" t="n"/>
      <c r="G134" s="10" t="n"/>
      <c r="H134" s="10" t="n"/>
      <c r="I134" s="10" t="n"/>
      <c r="J134" s="10" t="n"/>
      <c r="K134" s="32" t="n"/>
      <c r="L134" s="10" t="n"/>
      <c r="M134" s="10" t="n"/>
      <c r="N134" s="34">
        <f>IF(A134="","",IF(OR(COUNTIF($A$8:$A$207,A134)&lt;&gt;1),"检查编号或关联","正常"))</f>
        <v/>
      </c>
    </row>
    <row r="135" ht="34" customHeight="1">
      <c r="A135" s="32" t="n"/>
      <c r="B135" s="33" t="n"/>
      <c r="C135" s="32" t="n"/>
      <c r="D135" s="10" t="n"/>
      <c r="E135" s="10" t="n"/>
      <c r="F135" s="10" t="n"/>
      <c r="G135" s="10" t="n"/>
      <c r="H135" s="10" t="n"/>
      <c r="I135" s="10" t="n"/>
      <c r="J135" s="10" t="n"/>
      <c r="K135" s="32" t="n"/>
      <c r="L135" s="10" t="n"/>
      <c r="M135" s="10" t="n"/>
      <c r="N135" s="34">
        <f>IF(A135="","",IF(OR(COUNTIF($A$8:$A$207,A135)&lt;&gt;1),"检查编号或关联","正常"))</f>
        <v/>
      </c>
    </row>
    <row r="136" ht="34" customHeight="1">
      <c r="A136" s="32" t="n"/>
      <c r="B136" s="33" t="n"/>
      <c r="C136" s="32" t="n"/>
      <c r="D136" s="10" t="n"/>
      <c r="E136" s="10" t="n"/>
      <c r="F136" s="10" t="n"/>
      <c r="G136" s="10" t="n"/>
      <c r="H136" s="10" t="n"/>
      <c r="I136" s="10" t="n"/>
      <c r="J136" s="10" t="n"/>
      <c r="K136" s="32" t="n"/>
      <c r="L136" s="10" t="n"/>
      <c r="M136" s="10" t="n"/>
      <c r="N136" s="34">
        <f>IF(A136="","",IF(OR(COUNTIF($A$8:$A$207,A136)&lt;&gt;1),"检查编号或关联","正常"))</f>
        <v/>
      </c>
    </row>
    <row r="137" ht="34" customHeight="1">
      <c r="A137" s="32" t="n"/>
      <c r="B137" s="33" t="n"/>
      <c r="C137" s="32" t="n"/>
      <c r="D137" s="10" t="n"/>
      <c r="E137" s="10" t="n"/>
      <c r="F137" s="10" t="n"/>
      <c r="G137" s="10" t="n"/>
      <c r="H137" s="10" t="n"/>
      <c r="I137" s="10" t="n"/>
      <c r="J137" s="10" t="n"/>
      <c r="K137" s="32" t="n"/>
      <c r="L137" s="10" t="n"/>
      <c r="M137" s="10" t="n"/>
      <c r="N137" s="34">
        <f>IF(A137="","",IF(OR(COUNTIF($A$8:$A$207,A137)&lt;&gt;1),"检查编号或关联","正常"))</f>
        <v/>
      </c>
    </row>
    <row r="138" ht="34" customHeight="1">
      <c r="A138" s="32" t="n"/>
      <c r="B138" s="33" t="n"/>
      <c r="C138" s="32" t="n"/>
      <c r="D138" s="10" t="n"/>
      <c r="E138" s="10" t="n"/>
      <c r="F138" s="10" t="n"/>
      <c r="G138" s="10" t="n"/>
      <c r="H138" s="10" t="n"/>
      <c r="I138" s="10" t="n"/>
      <c r="J138" s="10" t="n"/>
      <c r="K138" s="32" t="n"/>
      <c r="L138" s="10" t="n"/>
      <c r="M138" s="10" t="n"/>
      <c r="N138" s="34">
        <f>IF(A138="","",IF(OR(COUNTIF($A$8:$A$207,A138)&lt;&gt;1),"检查编号或关联","正常"))</f>
        <v/>
      </c>
    </row>
    <row r="139" ht="34" customHeight="1">
      <c r="A139" s="32" t="n"/>
      <c r="B139" s="33" t="n"/>
      <c r="C139" s="32" t="n"/>
      <c r="D139" s="10" t="n"/>
      <c r="E139" s="10" t="n"/>
      <c r="F139" s="10" t="n"/>
      <c r="G139" s="10" t="n"/>
      <c r="H139" s="10" t="n"/>
      <c r="I139" s="10" t="n"/>
      <c r="J139" s="10" t="n"/>
      <c r="K139" s="32" t="n"/>
      <c r="L139" s="10" t="n"/>
      <c r="M139" s="10" t="n"/>
      <c r="N139" s="34">
        <f>IF(A139="","",IF(OR(COUNTIF($A$8:$A$207,A139)&lt;&gt;1),"检查编号或关联","正常"))</f>
        <v/>
      </c>
    </row>
    <row r="140" ht="34" customHeight="1">
      <c r="A140" s="32" t="n"/>
      <c r="B140" s="33" t="n"/>
      <c r="C140" s="32" t="n"/>
      <c r="D140" s="10" t="n"/>
      <c r="E140" s="10" t="n"/>
      <c r="F140" s="10" t="n"/>
      <c r="G140" s="10" t="n"/>
      <c r="H140" s="10" t="n"/>
      <c r="I140" s="10" t="n"/>
      <c r="J140" s="10" t="n"/>
      <c r="K140" s="32" t="n"/>
      <c r="L140" s="10" t="n"/>
      <c r="M140" s="10" t="n"/>
      <c r="N140" s="34">
        <f>IF(A140="","",IF(OR(COUNTIF($A$8:$A$207,A140)&lt;&gt;1),"检查编号或关联","正常"))</f>
        <v/>
      </c>
    </row>
    <row r="141" ht="34" customHeight="1">
      <c r="A141" s="32" t="n"/>
      <c r="B141" s="33" t="n"/>
      <c r="C141" s="32" t="n"/>
      <c r="D141" s="10" t="n"/>
      <c r="E141" s="10" t="n"/>
      <c r="F141" s="10" t="n"/>
      <c r="G141" s="10" t="n"/>
      <c r="H141" s="10" t="n"/>
      <c r="I141" s="10" t="n"/>
      <c r="J141" s="10" t="n"/>
      <c r="K141" s="32" t="n"/>
      <c r="L141" s="10" t="n"/>
      <c r="M141" s="10" t="n"/>
      <c r="N141" s="34">
        <f>IF(A141="","",IF(OR(COUNTIF($A$8:$A$207,A141)&lt;&gt;1),"检查编号或关联","正常"))</f>
        <v/>
      </c>
    </row>
    <row r="142" ht="34" customHeight="1">
      <c r="A142" s="32" t="n"/>
      <c r="B142" s="33" t="n"/>
      <c r="C142" s="32" t="n"/>
      <c r="D142" s="10" t="n"/>
      <c r="E142" s="10" t="n"/>
      <c r="F142" s="10" t="n"/>
      <c r="G142" s="10" t="n"/>
      <c r="H142" s="10" t="n"/>
      <c r="I142" s="10" t="n"/>
      <c r="J142" s="10" t="n"/>
      <c r="K142" s="32" t="n"/>
      <c r="L142" s="10" t="n"/>
      <c r="M142" s="10" t="n"/>
      <c r="N142" s="34">
        <f>IF(A142="","",IF(OR(COUNTIF($A$8:$A$207,A142)&lt;&gt;1),"检查编号或关联","正常"))</f>
        <v/>
      </c>
    </row>
    <row r="143" ht="34" customHeight="1">
      <c r="A143" s="32" t="n"/>
      <c r="B143" s="33" t="n"/>
      <c r="C143" s="32" t="n"/>
      <c r="D143" s="10" t="n"/>
      <c r="E143" s="10" t="n"/>
      <c r="F143" s="10" t="n"/>
      <c r="G143" s="10" t="n"/>
      <c r="H143" s="10" t="n"/>
      <c r="I143" s="10" t="n"/>
      <c r="J143" s="10" t="n"/>
      <c r="K143" s="32" t="n"/>
      <c r="L143" s="10" t="n"/>
      <c r="M143" s="10" t="n"/>
      <c r="N143" s="34">
        <f>IF(A143="","",IF(OR(COUNTIF($A$8:$A$207,A143)&lt;&gt;1),"检查编号或关联","正常"))</f>
        <v/>
      </c>
    </row>
    <row r="144" ht="34" customHeight="1">
      <c r="A144" s="32" t="n"/>
      <c r="B144" s="33" t="n"/>
      <c r="C144" s="32" t="n"/>
      <c r="D144" s="10" t="n"/>
      <c r="E144" s="10" t="n"/>
      <c r="F144" s="10" t="n"/>
      <c r="G144" s="10" t="n"/>
      <c r="H144" s="10" t="n"/>
      <c r="I144" s="10" t="n"/>
      <c r="J144" s="10" t="n"/>
      <c r="K144" s="32" t="n"/>
      <c r="L144" s="10" t="n"/>
      <c r="M144" s="10" t="n"/>
      <c r="N144" s="34">
        <f>IF(A144="","",IF(OR(COUNTIF($A$8:$A$207,A144)&lt;&gt;1),"检查编号或关联","正常"))</f>
        <v/>
      </c>
    </row>
    <row r="145" ht="34" customHeight="1">
      <c r="A145" s="32" t="n"/>
      <c r="B145" s="33" t="n"/>
      <c r="C145" s="32" t="n"/>
      <c r="D145" s="10" t="n"/>
      <c r="E145" s="10" t="n"/>
      <c r="F145" s="10" t="n"/>
      <c r="G145" s="10" t="n"/>
      <c r="H145" s="10" t="n"/>
      <c r="I145" s="10" t="n"/>
      <c r="J145" s="10" t="n"/>
      <c r="K145" s="32" t="n"/>
      <c r="L145" s="10" t="n"/>
      <c r="M145" s="10" t="n"/>
      <c r="N145" s="34">
        <f>IF(A145="","",IF(OR(COUNTIF($A$8:$A$207,A145)&lt;&gt;1),"检查编号或关联","正常"))</f>
        <v/>
      </c>
    </row>
    <row r="146" ht="34" customHeight="1">
      <c r="A146" s="32" t="n"/>
      <c r="B146" s="33" t="n"/>
      <c r="C146" s="32" t="n"/>
      <c r="D146" s="10" t="n"/>
      <c r="E146" s="10" t="n"/>
      <c r="F146" s="10" t="n"/>
      <c r="G146" s="10" t="n"/>
      <c r="H146" s="10" t="n"/>
      <c r="I146" s="10" t="n"/>
      <c r="J146" s="10" t="n"/>
      <c r="K146" s="32" t="n"/>
      <c r="L146" s="10" t="n"/>
      <c r="M146" s="10" t="n"/>
      <c r="N146" s="34">
        <f>IF(A146="","",IF(OR(COUNTIF($A$8:$A$207,A146)&lt;&gt;1),"检查编号或关联","正常"))</f>
        <v/>
      </c>
    </row>
    <row r="147" ht="34" customHeight="1">
      <c r="A147" s="32" t="n"/>
      <c r="B147" s="33" t="n"/>
      <c r="C147" s="32" t="n"/>
      <c r="D147" s="10" t="n"/>
      <c r="E147" s="10" t="n"/>
      <c r="F147" s="10" t="n"/>
      <c r="G147" s="10" t="n"/>
      <c r="H147" s="10" t="n"/>
      <c r="I147" s="10" t="n"/>
      <c r="J147" s="10" t="n"/>
      <c r="K147" s="32" t="n"/>
      <c r="L147" s="10" t="n"/>
      <c r="M147" s="10" t="n"/>
      <c r="N147" s="34">
        <f>IF(A147="","",IF(OR(COUNTIF($A$8:$A$207,A147)&lt;&gt;1),"检查编号或关联","正常"))</f>
        <v/>
      </c>
    </row>
    <row r="148" ht="34" customHeight="1">
      <c r="A148" s="32" t="n"/>
      <c r="B148" s="33" t="n"/>
      <c r="C148" s="32" t="n"/>
      <c r="D148" s="10" t="n"/>
      <c r="E148" s="10" t="n"/>
      <c r="F148" s="10" t="n"/>
      <c r="G148" s="10" t="n"/>
      <c r="H148" s="10" t="n"/>
      <c r="I148" s="10" t="n"/>
      <c r="J148" s="10" t="n"/>
      <c r="K148" s="32" t="n"/>
      <c r="L148" s="10" t="n"/>
      <c r="M148" s="10" t="n"/>
      <c r="N148" s="34">
        <f>IF(A148="","",IF(OR(COUNTIF($A$8:$A$207,A148)&lt;&gt;1),"检查编号或关联","正常"))</f>
        <v/>
      </c>
    </row>
    <row r="149" ht="34" customHeight="1">
      <c r="A149" s="32" t="n"/>
      <c r="B149" s="33" t="n"/>
      <c r="C149" s="32" t="n"/>
      <c r="D149" s="10" t="n"/>
      <c r="E149" s="10" t="n"/>
      <c r="F149" s="10" t="n"/>
      <c r="G149" s="10" t="n"/>
      <c r="H149" s="10" t="n"/>
      <c r="I149" s="10" t="n"/>
      <c r="J149" s="10" t="n"/>
      <c r="K149" s="32" t="n"/>
      <c r="L149" s="10" t="n"/>
      <c r="M149" s="10" t="n"/>
      <c r="N149" s="34">
        <f>IF(A149="","",IF(OR(COUNTIF($A$8:$A$207,A149)&lt;&gt;1),"检查编号或关联","正常"))</f>
        <v/>
      </c>
    </row>
    <row r="150" ht="34" customHeight="1">
      <c r="A150" s="32" t="n"/>
      <c r="B150" s="33" t="n"/>
      <c r="C150" s="32" t="n"/>
      <c r="D150" s="10" t="n"/>
      <c r="E150" s="10" t="n"/>
      <c r="F150" s="10" t="n"/>
      <c r="G150" s="10" t="n"/>
      <c r="H150" s="10" t="n"/>
      <c r="I150" s="10" t="n"/>
      <c r="J150" s="10" t="n"/>
      <c r="K150" s="32" t="n"/>
      <c r="L150" s="10" t="n"/>
      <c r="M150" s="10" t="n"/>
      <c r="N150" s="34">
        <f>IF(A150="","",IF(OR(COUNTIF($A$8:$A$207,A150)&lt;&gt;1),"检查编号或关联","正常"))</f>
        <v/>
      </c>
    </row>
    <row r="151" ht="34" customHeight="1">
      <c r="A151" s="32" t="n"/>
      <c r="B151" s="33" t="n"/>
      <c r="C151" s="32" t="n"/>
      <c r="D151" s="10" t="n"/>
      <c r="E151" s="10" t="n"/>
      <c r="F151" s="10" t="n"/>
      <c r="G151" s="10" t="n"/>
      <c r="H151" s="10" t="n"/>
      <c r="I151" s="10" t="n"/>
      <c r="J151" s="10" t="n"/>
      <c r="K151" s="32" t="n"/>
      <c r="L151" s="10" t="n"/>
      <c r="M151" s="10" t="n"/>
      <c r="N151" s="34">
        <f>IF(A151="","",IF(OR(COUNTIF($A$8:$A$207,A151)&lt;&gt;1),"检查编号或关联","正常"))</f>
        <v/>
      </c>
    </row>
    <row r="152" ht="34" customHeight="1">
      <c r="A152" s="32" t="n"/>
      <c r="B152" s="33" t="n"/>
      <c r="C152" s="32" t="n"/>
      <c r="D152" s="10" t="n"/>
      <c r="E152" s="10" t="n"/>
      <c r="F152" s="10" t="n"/>
      <c r="G152" s="10" t="n"/>
      <c r="H152" s="10" t="n"/>
      <c r="I152" s="10" t="n"/>
      <c r="J152" s="10" t="n"/>
      <c r="K152" s="32" t="n"/>
      <c r="L152" s="10" t="n"/>
      <c r="M152" s="10" t="n"/>
      <c r="N152" s="34">
        <f>IF(A152="","",IF(OR(COUNTIF($A$8:$A$207,A152)&lt;&gt;1),"检查编号或关联","正常"))</f>
        <v/>
      </c>
    </row>
    <row r="153" ht="34" customHeight="1">
      <c r="A153" s="32" t="n"/>
      <c r="B153" s="33" t="n"/>
      <c r="C153" s="32" t="n"/>
      <c r="D153" s="10" t="n"/>
      <c r="E153" s="10" t="n"/>
      <c r="F153" s="10" t="n"/>
      <c r="G153" s="10" t="n"/>
      <c r="H153" s="10" t="n"/>
      <c r="I153" s="10" t="n"/>
      <c r="J153" s="10" t="n"/>
      <c r="K153" s="32" t="n"/>
      <c r="L153" s="10" t="n"/>
      <c r="M153" s="10" t="n"/>
      <c r="N153" s="34">
        <f>IF(A153="","",IF(OR(COUNTIF($A$8:$A$207,A153)&lt;&gt;1),"检查编号或关联","正常"))</f>
        <v/>
      </c>
    </row>
    <row r="154" ht="34" customHeight="1">
      <c r="A154" s="32" t="n"/>
      <c r="B154" s="33" t="n"/>
      <c r="C154" s="32" t="n"/>
      <c r="D154" s="10" t="n"/>
      <c r="E154" s="10" t="n"/>
      <c r="F154" s="10" t="n"/>
      <c r="G154" s="10" t="n"/>
      <c r="H154" s="10" t="n"/>
      <c r="I154" s="10" t="n"/>
      <c r="J154" s="10" t="n"/>
      <c r="K154" s="32" t="n"/>
      <c r="L154" s="10" t="n"/>
      <c r="M154" s="10" t="n"/>
      <c r="N154" s="34">
        <f>IF(A154="","",IF(OR(COUNTIF($A$8:$A$207,A154)&lt;&gt;1),"检查编号或关联","正常"))</f>
        <v/>
      </c>
    </row>
    <row r="155" ht="34" customHeight="1">
      <c r="A155" s="32" t="n"/>
      <c r="B155" s="33" t="n"/>
      <c r="C155" s="32" t="n"/>
      <c r="D155" s="10" t="n"/>
      <c r="E155" s="10" t="n"/>
      <c r="F155" s="10" t="n"/>
      <c r="G155" s="10" t="n"/>
      <c r="H155" s="10" t="n"/>
      <c r="I155" s="10" t="n"/>
      <c r="J155" s="10" t="n"/>
      <c r="K155" s="32" t="n"/>
      <c r="L155" s="10" t="n"/>
      <c r="M155" s="10" t="n"/>
      <c r="N155" s="34">
        <f>IF(A155="","",IF(OR(COUNTIF($A$8:$A$207,A155)&lt;&gt;1),"检查编号或关联","正常"))</f>
        <v/>
      </c>
    </row>
    <row r="156" ht="34" customHeight="1">
      <c r="A156" s="32" t="n"/>
      <c r="B156" s="33" t="n"/>
      <c r="C156" s="32" t="n"/>
      <c r="D156" s="10" t="n"/>
      <c r="E156" s="10" t="n"/>
      <c r="F156" s="10" t="n"/>
      <c r="G156" s="10" t="n"/>
      <c r="H156" s="10" t="n"/>
      <c r="I156" s="10" t="n"/>
      <c r="J156" s="10" t="n"/>
      <c r="K156" s="32" t="n"/>
      <c r="L156" s="10" t="n"/>
      <c r="M156" s="10" t="n"/>
      <c r="N156" s="34">
        <f>IF(A156="","",IF(OR(COUNTIF($A$8:$A$207,A156)&lt;&gt;1),"检查编号或关联","正常"))</f>
        <v/>
      </c>
    </row>
    <row r="157" ht="34" customHeight="1">
      <c r="A157" s="32" t="n"/>
      <c r="B157" s="33" t="n"/>
      <c r="C157" s="32" t="n"/>
      <c r="D157" s="10" t="n"/>
      <c r="E157" s="10" t="n"/>
      <c r="F157" s="10" t="n"/>
      <c r="G157" s="10" t="n"/>
      <c r="H157" s="10" t="n"/>
      <c r="I157" s="10" t="n"/>
      <c r="J157" s="10" t="n"/>
      <c r="K157" s="32" t="n"/>
      <c r="L157" s="10" t="n"/>
      <c r="M157" s="10" t="n"/>
      <c r="N157" s="34">
        <f>IF(A157="","",IF(OR(COUNTIF($A$8:$A$207,A157)&lt;&gt;1),"检查编号或关联","正常"))</f>
        <v/>
      </c>
    </row>
    <row r="158" ht="34" customHeight="1">
      <c r="A158" s="32" t="n"/>
      <c r="B158" s="33" t="n"/>
      <c r="C158" s="32" t="n"/>
      <c r="D158" s="10" t="n"/>
      <c r="E158" s="10" t="n"/>
      <c r="F158" s="10" t="n"/>
      <c r="G158" s="10" t="n"/>
      <c r="H158" s="10" t="n"/>
      <c r="I158" s="10" t="n"/>
      <c r="J158" s="10" t="n"/>
      <c r="K158" s="32" t="n"/>
      <c r="L158" s="10" t="n"/>
      <c r="M158" s="10" t="n"/>
      <c r="N158" s="34">
        <f>IF(A158="","",IF(OR(COUNTIF($A$8:$A$207,A158)&lt;&gt;1),"检查编号或关联","正常"))</f>
        <v/>
      </c>
    </row>
    <row r="159" ht="34" customHeight="1">
      <c r="A159" s="32" t="n"/>
      <c r="B159" s="33" t="n"/>
      <c r="C159" s="32" t="n"/>
      <c r="D159" s="10" t="n"/>
      <c r="E159" s="10" t="n"/>
      <c r="F159" s="10" t="n"/>
      <c r="G159" s="10" t="n"/>
      <c r="H159" s="10" t="n"/>
      <c r="I159" s="10" t="n"/>
      <c r="J159" s="10" t="n"/>
      <c r="K159" s="32" t="n"/>
      <c r="L159" s="10" t="n"/>
      <c r="M159" s="10" t="n"/>
      <c r="N159" s="34">
        <f>IF(A159="","",IF(OR(COUNTIF($A$8:$A$207,A159)&lt;&gt;1),"检查编号或关联","正常"))</f>
        <v/>
      </c>
    </row>
    <row r="160" ht="34" customHeight="1">
      <c r="A160" s="32" t="n"/>
      <c r="B160" s="33" t="n"/>
      <c r="C160" s="32" t="n"/>
      <c r="D160" s="10" t="n"/>
      <c r="E160" s="10" t="n"/>
      <c r="F160" s="10" t="n"/>
      <c r="G160" s="10" t="n"/>
      <c r="H160" s="10" t="n"/>
      <c r="I160" s="10" t="n"/>
      <c r="J160" s="10" t="n"/>
      <c r="K160" s="32" t="n"/>
      <c r="L160" s="10" t="n"/>
      <c r="M160" s="10" t="n"/>
      <c r="N160" s="34">
        <f>IF(A160="","",IF(OR(COUNTIF($A$8:$A$207,A160)&lt;&gt;1),"检查编号或关联","正常"))</f>
        <v/>
      </c>
    </row>
    <row r="161" ht="34" customHeight="1">
      <c r="A161" s="32" t="n"/>
      <c r="B161" s="33" t="n"/>
      <c r="C161" s="32" t="n"/>
      <c r="D161" s="10" t="n"/>
      <c r="E161" s="10" t="n"/>
      <c r="F161" s="10" t="n"/>
      <c r="G161" s="10" t="n"/>
      <c r="H161" s="10" t="n"/>
      <c r="I161" s="10" t="n"/>
      <c r="J161" s="10" t="n"/>
      <c r="K161" s="32" t="n"/>
      <c r="L161" s="10" t="n"/>
      <c r="M161" s="10" t="n"/>
      <c r="N161" s="34">
        <f>IF(A161="","",IF(OR(COUNTIF($A$8:$A$207,A161)&lt;&gt;1),"检查编号或关联","正常"))</f>
        <v/>
      </c>
    </row>
    <row r="162" ht="34" customHeight="1">
      <c r="A162" s="32" t="n"/>
      <c r="B162" s="33" t="n"/>
      <c r="C162" s="32" t="n"/>
      <c r="D162" s="10" t="n"/>
      <c r="E162" s="10" t="n"/>
      <c r="F162" s="10" t="n"/>
      <c r="G162" s="10" t="n"/>
      <c r="H162" s="10" t="n"/>
      <c r="I162" s="10" t="n"/>
      <c r="J162" s="10" t="n"/>
      <c r="K162" s="32" t="n"/>
      <c r="L162" s="10" t="n"/>
      <c r="M162" s="10" t="n"/>
      <c r="N162" s="34">
        <f>IF(A162="","",IF(OR(COUNTIF($A$8:$A$207,A162)&lt;&gt;1),"检查编号或关联","正常"))</f>
        <v/>
      </c>
    </row>
    <row r="163" ht="34" customHeight="1">
      <c r="A163" s="32" t="n"/>
      <c r="B163" s="33" t="n"/>
      <c r="C163" s="32" t="n"/>
      <c r="D163" s="10" t="n"/>
      <c r="E163" s="10" t="n"/>
      <c r="F163" s="10" t="n"/>
      <c r="G163" s="10" t="n"/>
      <c r="H163" s="10" t="n"/>
      <c r="I163" s="10" t="n"/>
      <c r="J163" s="10" t="n"/>
      <c r="K163" s="32" t="n"/>
      <c r="L163" s="10" t="n"/>
      <c r="M163" s="10" t="n"/>
      <c r="N163" s="34">
        <f>IF(A163="","",IF(OR(COUNTIF($A$8:$A$207,A163)&lt;&gt;1),"检查编号或关联","正常"))</f>
        <v/>
      </c>
    </row>
    <row r="164" ht="34" customHeight="1">
      <c r="A164" s="32" t="n"/>
      <c r="B164" s="33" t="n"/>
      <c r="C164" s="32" t="n"/>
      <c r="D164" s="10" t="n"/>
      <c r="E164" s="10" t="n"/>
      <c r="F164" s="10" t="n"/>
      <c r="G164" s="10" t="n"/>
      <c r="H164" s="10" t="n"/>
      <c r="I164" s="10" t="n"/>
      <c r="J164" s="10" t="n"/>
      <c r="K164" s="32" t="n"/>
      <c r="L164" s="10" t="n"/>
      <c r="M164" s="10" t="n"/>
      <c r="N164" s="34">
        <f>IF(A164="","",IF(OR(COUNTIF($A$8:$A$207,A164)&lt;&gt;1),"检查编号或关联","正常"))</f>
        <v/>
      </c>
    </row>
    <row r="165" ht="34" customHeight="1">
      <c r="A165" s="32" t="n"/>
      <c r="B165" s="33" t="n"/>
      <c r="C165" s="32" t="n"/>
      <c r="D165" s="10" t="n"/>
      <c r="E165" s="10" t="n"/>
      <c r="F165" s="10" t="n"/>
      <c r="G165" s="10" t="n"/>
      <c r="H165" s="10" t="n"/>
      <c r="I165" s="10" t="n"/>
      <c r="J165" s="10" t="n"/>
      <c r="K165" s="32" t="n"/>
      <c r="L165" s="10" t="n"/>
      <c r="M165" s="10" t="n"/>
      <c r="N165" s="34">
        <f>IF(A165="","",IF(OR(COUNTIF($A$8:$A$207,A165)&lt;&gt;1),"检查编号或关联","正常"))</f>
        <v/>
      </c>
    </row>
    <row r="166" ht="34" customHeight="1">
      <c r="A166" s="32" t="n"/>
      <c r="B166" s="33" t="n"/>
      <c r="C166" s="32" t="n"/>
      <c r="D166" s="10" t="n"/>
      <c r="E166" s="10" t="n"/>
      <c r="F166" s="10" t="n"/>
      <c r="G166" s="10" t="n"/>
      <c r="H166" s="10" t="n"/>
      <c r="I166" s="10" t="n"/>
      <c r="J166" s="10" t="n"/>
      <c r="K166" s="32" t="n"/>
      <c r="L166" s="10" t="n"/>
      <c r="M166" s="10" t="n"/>
      <c r="N166" s="34">
        <f>IF(A166="","",IF(OR(COUNTIF($A$8:$A$207,A166)&lt;&gt;1),"检查编号或关联","正常"))</f>
        <v/>
      </c>
    </row>
    <row r="167" ht="34" customHeight="1">
      <c r="A167" s="32" t="n"/>
      <c r="B167" s="33" t="n"/>
      <c r="C167" s="32" t="n"/>
      <c r="D167" s="10" t="n"/>
      <c r="E167" s="10" t="n"/>
      <c r="F167" s="10" t="n"/>
      <c r="G167" s="10" t="n"/>
      <c r="H167" s="10" t="n"/>
      <c r="I167" s="10" t="n"/>
      <c r="J167" s="10" t="n"/>
      <c r="K167" s="32" t="n"/>
      <c r="L167" s="10" t="n"/>
      <c r="M167" s="10" t="n"/>
      <c r="N167" s="34">
        <f>IF(A167="","",IF(OR(COUNTIF($A$8:$A$207,A167)&lt;&gt;1),"检查编号或关联","正常"))</f>
        <v/>
      </c>
    </row>
    <row r="168" ht="34" customHeight="1">
      <c r="A168" s="32" t="n"/>
      <c r="B168" s="33" t="n"/>
      <c r="C168" s="32" t="n"/>
      <c r="D168" s="10" t="n"/>
      <c r="E168" s="10" t="n"/>
      <c r="F168" s="10" t="n"/>
      <c r="G168" s="10" t="n"/>
      <c r="H168" s="10" t="n"/>
      <c r="I168" s="10" t="n"/>
      <c r="J168" s="10" t="n"/>
      <c r="K168" s="32" t="n"/>
      <c r="L168" s="10" t="n"/>
      <c r="M168" s="10" t="n"/>
      <c r="N168" s="34">
        <f>IF(A168="","",IF(OR(COUNTIF($A$8:$A$207,A168)&lt;&gt;1),"检查编号或关联","正常"))</f>
        <v/>
      </c>
    </row>
    <row r="169" ht="34" customHeight="1">
      <c r="A169" s="32" t="n"/>
      <c r="B169" s="33" t="n"/>
      <c r="C169" s="32" t="n"/>
      <c r="D169" s="10" t="n"/>
      <c r="E169" s="10" t="n"/>
      <c r="F169" s="10" t="n"/>
      <c r="G169" s="10" t="n"/>
      <c r="H169" s="10" t="n"/>
      <c r="I169" s="10" t="n"/>
      <c r="J169" s="10" t="n"/>
      <c r="K169" s="32" t="n"/>
      <c r="L169" s="10" t="n"/>
      <c r="M169" s="10" t="n"/>
      <c r="N169" s="34">
        <f>IF(A169="","",IF(OR(COUNTIF($A$8:$A$207,A169)&lt;&gt;1),"检查编号或关联","正常"))</f>
        <v/>
      </c>
    </row>
    <row r="170" ht="34" customHeight="1">
      <c r="A170" s="32" t="n"/>
      <c r="B170" s="33" t="n"/>
      <c r="C170" s="32" t="n"/>
      <c r="D170" s="10" t="n"/>
      <c r="E170" s="10" t="n"/>
      <c r="F170" s="10" t="n"/>
      <c r="G170" s="10" t="n"/>
      <c r="H170" s="10" t="n"/>
      <c r="I170" s="10" t="n"/>
      <c r="J170" s="10" t="n"/>
      <c r="K170" s="32" t="n"/>
      <c r="L170" s="10" t="n"/>
      <c r="M170" s="10" t="n"/>
      <c r="N170" s="34">
        <f>IF(A170="","",IF(OR(COUNTIF($A$8:$A$207,A170)&lt;&gt;1),"检查编号或关联","正常"))</f>
        <v/>
      </c>
    </row>
    <row r="171" ht="34" customHeight="1">
      <c r="A171" s="32" t="n"/>
      <c r="B171" s="33" t="n"/>
      <c r="C171" s="32" t="n"/>
      <c r="D171" s="10" t="n"/>
      <c r="E171" s="10" t="n"/>
      <c r="F171" s="10" t="n"/>
      <c r="G171" s="10" t="n"/>
      <c r="H171" s="10" t="n"/>
      <c r="I171" s="10" t="n"/>
      <c r="J171" s="10" t="n"/>
      <c r="K171" s="32" t="n"/>
      <c r="L171" s="10" t="n"/>
      <c r="M171" s="10" t="n"/>
      <c r="N171" s="34">
        <f>IF(A171="","",IF(OR(COUNTIF($A$8:$A$207,A171)&lt;&gt;1),"检查编号或关联","正常"))</f>
        <v/>
      </c>
    </row>
    <row r="172" ht="34" customHeight="1">
      <c r="A172" s="32" t="n"/>
      <c r="B172" s="33" t="n"/>
      <c r="C172" s="32" t="n"/>
      <c r="D172" s="10" t="n"/>
      <c r="E172" s="10" t="n"/>
      <c r="F172" s="10" t="n"/>
      <c r="G172" s="10" t="n"/>
      <c r="H172" s="10" t="n"/>
      <c r="I172" s="10" t="n"/>
      <c r="J172" s="10" t="n"/>
      <c r="K172" s="32" t="n"/>
      <c r="L172" s="10" t="n"/>
      <c r="M172" s="10" t="n"/>
      <c r="N172" s="34">
        <f>IF(A172="","",IF(OR(COUNTIF($A$8:$A$207,A172)&lt;&gt;1),"检查编号或关联","正常"))</f>
        <v/>
      </c>
    </row>
    <row r="173" ht="34" customHeight="1">
      <c r="A173" s="32" t="n"/>
      <c r="B173" s="33" t="n"/>
      <c r="C173" s="32" t="n"/>
      <c r="D173" s="10" t="n"/>
      <c r="E173" s="10" t="n"/>
      <c r="F173" s="10" t="n"/>
      <c r="G173" s="10" t="n"/>
      <c r="H173" s="10" t="n"/>
      <c r="I173" s="10" t="n"/>
      <c r="J173" s="10" t="n"/>
      <c r="K173" s="32" t="n"/>
      <c r="L173" s="10" t="n"/>
      <c r="M173" s="10" t="n"/>
      <c r="N173" s="34">
        <f>IF(A173="","",IF(OR(COUNTIF($A$8:$A$207,A173)&lt;&gt;1),"检查编号或关联","正常"))</f>
        <v/>
      </c>
    </row>
    <row r="174" ht="34" customHeight="1">
      <c r="A174" s="32" t="n"/>
      <c r="B174" s="33" t="n"/>
      <c r="C174" s="32" t="n"/>
      <c r="D174" s="10" t="n"/>
      <c r="E174" s="10" t="n"/>
      <c r="F174" s="10" t="n"/>
      <c r="G174" s="10" t="n"/>
      <c r="H174" s="10" t="n"/>
      <c r="I174" s="10" t="n"/>
      <c r="J174" s="10" t="n"/>
      <c r="K174" s="32" t="n"/>
      <c r="L174" s="10" t="n"/>
      <c r="M174" s="10" t="n"/>
      <c r="N174" s="34">
        <f>IF(A174="","",IF(OR(COUNTIF($A$8:$A$207,A174)&lt;&gt;1),"检查编号或关联","正常"))</f>
        <v/>
      </c>
    </row>
    <row r="175" ht="34" customHeight="1">
      <c r="A175" s="32" t="n"/>
      <c r="B175" s="33" t="n"/>
      <c r="C175" s="32" t="n"/>
      <c r="D175" s="10" t="n"/>
      <c r="E175" s="10" t="n"/>
      <c r="F175" s="10" t="n"/>
      <c r="G175" s="10" t="n"/>
      <c r="H175" s="10" t="n"/>
      <c r="I175" s="10" t="n"/>
      <c r="J175" s="10" t="n"/>
      <c r="K175" s="32" t="n"/>
      <c r="L175" s="10" t="n"/>
      <c r="M175" s="10" t="n"/>
      <c r="N175" s="34">
        <f>IF(A175="","",IF(OR(COUNTIF($A$8:$A$207,A175)&lt;&gt;1),"检查编号或关联","正常"))</f>
        <v/>
      </c>
    </row>
    <row r="176" ht="34" customHeight="1">
      <c r="A176" s="32" t="n"/>
      <c r="B176" s="33" t="n"/>
      <c r="C176" s="32" t="n"/>
      <c r="D176" s="10" t="n"/>
      <c r="E176" s="10" t="n"/>
      <c r="F176" s="10" t="n"/>
      <c r="G176" s="10" t="n"/>
      <c r="H176" s="10" t="n"/>
      <c r="I176" s="10" t="n"/>
      <c r="J176" s="10" t="n"/>
      <c r="K176" s="32" t="n"/>
      <c r="L176" s="10" t="n"/>
      <c r="M176" s="10" t="n"/>
      <c r="N176" s="34">
        <f>IF(A176="","",IF(OR(COUNTIF($A$8:$A$207,A176)&lt;&gt;1),"检查编号或关联","正常"))</f>
        <v/>
      </c>
    </row>
    <row r="177" ht="34" customHeight="1">
      <c r="A177" s="32" t="n"/>
      <c r="B177" s="33" t="n"/>
      <c r="C177" s="32" t="n"/>
      <c r="D177" s="10" t="n"/>
      <c r="E177" s="10" t="n"/>
      <c r="F177" s="10" t="n"/>
      <c r="G177" s="10" t="n"/>
      <c r="H177" s="10" t="n"/>
      <c r="I177" s="10" t="n"/>
      <c r="J177" s="10" t="n"/>
      <c r="K177" s="32" t="n"/>
      <c r="L177" s="10" t="n"/>
      <c r="M177" s="10" t="n"/>
      <c r="N177" s="34">
        <f>IF(A177="","",IF(OR(COUNTIF($A$8:$A$207,A177)&lt;&gt;1),"检查编号或关联","正常"))</f>
        <v/>
      </c>
    </row>
    <row r="178" ht="34" customHeight="1">
      <c r="A178" s="32" t="n"/>
      <c r="B178" s="33" t="n"/>
      <c r="C178" s="32" t="n"/>
      <c r="D178" s="10" t="n"/>
      <c r="E178" s="10" t="n"/>
      <c r="F178" s="10" t="n"/>
      <c r="G178" s="10" t="n"/>
      <c r="H178" s="10" t="n"/>
      <c r="I178" s="10" t="n"/>
      <c r="J178" s="10" t="n"/>
      <c r="K178" s="32" t="n"/>
      <c r="L178" s="10" t="n"/>
      <c r="M178" s="10" t="n"/>
      <c r="N178" s="34">
        <f>IF(A178="","",IF(OR(COUNTIF($A$8:$A$207,A178)&lt;&gt;1),"检查编号或关联","正常"))</f>
        <v/>
      </c>
    </row>
    <row r="179" ht="34" customHeight="1">
      <c r="A179" s="32" t="n"/>
      <c r="B179" s="33" t="n"/>
      <c r="C179" s="32" t="n"/>
      <c r="D179" s="10" t="n"/>
      <c r="E179" s="10" t="n"/>
      <c r="F179" s="10" t="n"/>
      <c r="G179" s="10" t="n"/>
      <c r="H179" s="10" t="n"/>
      <c r="I179" s="10" t="n"/>
      <c r="J179" s="10" t="n"/>
      <c r="K179" s="32" t="n"/>
      <c r="L179" s="10" t="n"/>
      <c r="M179" s="10" t="n"/>
      <c r="N179" s="34">
        <f>IF(A179="","",IF(OR(COUNTIF($A$8:$A$207,A179)&lt;&gt;1),"检查编号或关联","正常"))</f>
        <v/>
      </c>
    </row>
    <row r="180" ht="34" customHeight="1">
      <c r="A180" s="32" t="n"/>
      <c r="B180" s="33" t="n"/>
      <c r="C180" s="32" t="n"/>
      <c r="D180" s="10" t="n"/>
      <c r="E180" s="10" t="n"/>
      <c r="F180" s="10" t="n"/>
      <c r="G180" s="10" t="n"/>
      <c r="H180" s="10" t="n"/>
      <c r="I180" s="10" t="n"/>
      <c r="J180" s="10" t="n"/>
      <c r="K180" s="32" t="n"/>
      <c r="L180" s="10" t="n"/>
      <c r="M180" s="10" t="n"/>
      <c r="N180" s="34">
        <f>IF(A180="","",IF(OR(COUNTIF($A$8:$A$207,A180)&lt;&gt;1),"检查编号或关联","正常"))</f>
        <v/>
      </c>
    </row>
    <row r="181" ht="34" customHeight="1">
      <c r="A181" s="32" t="n"/>
      <c r="B181" s="33" t="n"/>
      <c r="C181" s="32" t="n"/>
      <c r="D181" s="10" t="n"/>
      <c r="E181" s="10" t="n"/>
      <c r="F181" s="10" t="n"/>
      <c r="G181" s="10" t="n"/>
      <c r="H181" s="10" t="n"/>
      <c r="I181" s="10" t="n"/>
      <c r="J181" s="10" t="n"/>
      <c r="K181" s="32" t="n"/>
      <c r="L181" s="10" t="n"/>
      <c r="M181" s="10" t="n"/>
      <c r="N181" s="34">
        <f>IF(A181="","",IF(OR(COUNTIF($A$8:$A$207,A181)&lt;&gt;1),"检查编号或关联","正常"))</f>
        <v/>
      </c>
    </row>
    <row r="182" ht="34" customHeight="1">
      <c r="A182" s="32" t="n"/>
      <c r="B182" s="33" t="n"/>
      <c r="C182" s="32" t="n"/>
      <c r="D182" s="10" t="n"/>
      <c r="E182" s="10" t="n"/>
      <c r="F182" s="10" t="n"/>
      <c r="G182" s="10" t="n"/>
      <c r="H182" s="10" t="n"/>
      <c r="I182" s="10" t="n"/>
      <c r="J182" s="10" t="n"/>
      <c r="K182" s="32" t="n"/>
      <c r="L182" s="10" t="n"/>
      <c r="M182" s="10" t="n"/>
      <c r="N182" s="34">
        <f>IF(A182="","",IF(OR(COUNTIF($A$8:$A$207,A182)&lt;&gt;1),"检查编号或关联","正常"))</f>
        <v/>
      </c>
    </row>
    <row r="183" ht="34" customHeight="1">
      <c r="A183" s="32" t="n"/>
      <c r="B183" s="33" t="n"/>
      <c r="C183" s="32" t="n"/>
      <c r="D183" s="10" t="n"/>
      <c r="E183" s="10" t="n"/>
      <c r="F183" s="10" t="n"/>
      <c r="G183" s="10" t="n"/>
      <c r="H183" s="10" t="n"/>
      <c r="I183" s="10" t="n"/>
      <c r="J183" s="10" t="n"/>
      <c r="K183" s="32" t="n"/>
      <c r="L183" s="10" t="n"/>
      <c r="M183" s="10" t="n"/>
      <c r="N183" s="34">
        <f>IF(A183="","",IF(OR(COUNTIF($A$8:$A$207,A183)&lt;&gt;1),"检查编号或关联","正常"))</f>
        <v/>
      </c>
    </row>
    <row r="184" ht="34" customHeight="1">
      <c r="A184" s="32" t="n"/>
      <c r="B184" s="33" t="n"/>
      <c r="C184" s="32" t="n"/>
      <c r="D184" s="10" t="n"/>
      <c r="E184" s="10" t="n"/>
      <c r="F184" s="10" t="n"/>
      <c r="G184" s="10" t="n"/>
      <c r="H184" s="10" t="n"/>
      <c r="I184" s="10" t="n"/>
      <c r="J184" s="10" t="n"/>
      <c r="K184" s="32" t="n"/>
      <c r="L184" s="10" t="n"/>
      <c r="M184" s="10" t="n"/>
      <c r="N184" s="34">
        <f>IF(A184="","",IF(OR(COUNTIF($A$8:$A$207,A184)&lt;&gt;1),"检查编号或关联","正常"))</f>
        <v/>
      </c>
    </row>
    <row r="185" ht="34" customHeight="1">
      <c r="A185" s="32" t="n"/>
      <c r="B185" s="33" t="n"/>
      <c r="C185" s="32" t="n"/>
      <c r="D185" s="10" t="n"/>
      <c r="E185" s="10" t="n"/>
      <c r="F185" s="10" t="n"/>
      <c r="G185" s="10" t="n"/>
      <c r="H185" s="10" t="n"/>
      <c r="I185" s="10" t="n"/>
      <c r="J185" s="10" t="n"/>
      <c r="K185" s="32" t="n"/>
      <c r="L185" s="10" t="n"/>
      <c r="M185" s="10" t="n"/>
      <c r="N185" s="34">
        <f>IF(A185="","",IF(OR(COUNTIF($A$8:$A$207,A185)&lt;&gt;1),"检查编号或关联","正常"))</f>
        <v/>
      </c>
    </row>
    <row r="186" ht="34" customHeight="1">
      <c r="A186" s="32" t="n"/>
      <c r="B186" s="33" t="n"/>
      <c r="C186" s="32" t="n"/>
      <c r="D186" s="10" t="n"/>
      <c r="E186" s="10" t="n"/>
      <c r="F186" s="10" t="n"/>
      <c r="G186" s="10" t="n"/>
      <c r="H186" s="10" t="n"/>
      <c r="I186" s="10" t="n"/>
      <c r="J186" s="10" t="n"/>
      <c r="K186" s="32" t="n"/>
      <c r="L186" s="10" t="n"/>
      <c r="M186" s="10" t="n"/>
      <c r="N186" s="34">
        <f>IF(A186="","",IF(OR(COUNTIF($A$8:$A$207,A186)&lt;&gt;1),"检查编号或关联","正常"))</f>
        <v/>
      </c>
    </row>
    <row r="187" ht="34" customHeight="1">
      <c r="A187" s="32" t="n"/>
      <c r="B187" s="33" t="n"/>
      <c r="C187" s="32" t="n"/>
      <c r="D187" s="10" t="n"/>
      <c r="E187" s="10" t="n"/>
      <c r="F187" s="10" t="n"/>
      <c r="G187" s="10" t="n"/>
      <c r="H187" s="10" t="n"/>
      <c r="I187" s="10" t="n"/>
      <c r="J187" s="10" t="n"/>
      <c r="K187" s="32" t="n"/>
      <c r="L187" s="10" t="n"/>
      <c r="M187" s="10" t="n"/>
      <c r="N187" s="34">
        <f>IF(A187="","",IF(OR(COUNTIF($A$8:$A$207,A187)&lt;&gt;1),"检查编号或关联","正常"))</f>
        <v/>
      </c>
    </row>
    <row r="188" ht="34" customHeight="1">
      <c r="A188" s="32" t="n"/>
      <c r="B188" s="33" t="n"/>
      <c r="C188" s="32" t="n"/>
      <c r="D188" s="10" t="n"/>
      <c r="E188" s="10" t="n"/>
      <c r="F188" s="10" t="n"/>
      <c r="G188" s="10" t="n"/>
      <c r="H188" s="10" t="n"/>
      <c r="I188" s="10" t="n"/>
      <c r="J188" s="10" t="n"/>
      <c r="K188" s="32" t="n"/>
      <c r="L188" s="10" t="n"/>
      <c r="M188" s="10" t="n"/>
      <c r="N188" s="34">
        <f>IF(A188="","",IF(OR(COUNTIF($A$8:$A$207,A188)&lt;&gt;1),"检查编号或关联","正常"))</f>
        <v/>
      </c>
    </row>
    <row r="189" ht="34" customHeight="1">
      <c r="A189" s="32" t="n"/>
      <c r="B189" s="33" t="n"/>
      <c r="C189" s="32" t="n"/>
      <c r="D189" s="10" t="n"/>
      <c r="E189" s="10" t="n"/>
      <c r="F189" s="10" t="n"/>
      <c r="G189" s="10" t="n"/>
      <c r="H189" s="10" t="n"/>
      <c r="I189" s="10" t="n"/>
      <c r="J189" s="10" t="n"/>
      <c r="K189" s="32" t="n"/>
      <c r="L189" s="10" t="n"/>
      <c r="M189" s="10" t="n"/>
      <c r="N189" s="34">
        <f>IF(A189="","",IF(OR(COUNTIF($A$8:$A$207,A189)&lt;&gt;1),"检查编号或关联","正常"))</f>
        <v/>
      </c>
    </row>
    <row r="190" ht="34" customHeight="1">
      <c r="A190" s="32" t="n"/>
      <c r="B190" s="33" t="n"/>
      <c r="C190" s="32" t="n"/>
      <c r="D190" s="10" t="n"/>
      <c r="E190" s="10" t="n"/>
      <c r="F190" s="10" t="n"/>
      <c r="G190" s="10" t="n"/>
      <c r="H190" s="10" t="n"/>
      <c r="I190" s="10" t="n"/>
      <c r="J190" s="10" t="n"/>
      <c r="K190" s="32" t="n"/>
      <c r="L190" s="10" t="n"/>
      <c r="M190" s="10" t="n"/>
      <c r="N190" s="34">
        <f>IF(A190="","",IF(OR(COUNTIF($A$8:$A$207,A190)&lt;&gt;1),"检查编号或关联","正常"))</f>
        <v/>
      </c>
    </row>
    <row r="191" ht="34" customHeight="1">
      <c r="A191" s="32" t="n"/>
      <c r="B191" s="33" t="n"/>
      <c r="C191" s="32" t="n"/>
      <c r="D191" s="10" t="n"/>
      <c r="E191" s="10" t="n"/>
      <c r="F191" s="10" t="n"/>
      <c r="G191" s="10" t="n"/>
      <c r="H191" s="10" t="n"/>
      <c r="I191" s="10" t="n"/>
      <c r="J191" s="10" t="n"/>
      <c r="K191" s="32" t="n"/>
      <c r="L191" s="10" t="n"/>
      <c r="M191" s="10" t="n"/>
      <c r="N191" s="34">
        <f>IF(A191="","",IF(OR(COUNTIF($A$8:$A$207,A191)&lt;&gt;1),"检查编号或关联","正常"))</f>
        <v/>
      </c>
    </row>
    <row r="192" ht="34" customHeight="1">
      <c r="A192" s="32" t="n"/>
      <c r="B192" s="33" t="n"/>
      <c r="C192" s="32" t="n"/>
      <c r="D192" s="10" t="n"/>
      <c r="E192" s="10" t="n"/>
      <c r="F192" s="10" t="n"/>
      <c r="G192" s="10" t="n"/>
      <c r="H192" s="10" t="n"/>
      <c r="I192" s="10" t="n"/>
      <c r="J192" s="10" t="n"/>
      <c r="K192" s="32" t="n"/>
      <c r="L192" s="10" t="n"/>
      <c r="M192" s="10" t="n"/>
      <c r="N192" s="34">
        <f>IF(A192="","",IF(OR(COUNTIF($A$8:$A$207,A192)&lt;&gt;1),"检查编号或关联","正常"))</f>
        <v/>
      </c>
    </row>
    <row r="193" ht="34" customHeight="1">
      <c r="A193" s="32" t="n"/>
      <c r="B193" s="33" t="n"/>
      <c r="C193" s="32" t="n"/>
      <c r="D193" s="10" t="n"/>
      <c r="E193" s="10" t="n"/>
      <c r="F193" s="10" t="n"/>
      <c r="G193" s="10" t="n"/>
      <c r="H193" s="10" t="n"/>
      <c r="I193" s="10" t="n"/>
      <c r="J193" s="10" t="n"/>
      <c r="K193" s="32" t="n"/>
      <c r="L193" s="10" t="n"/>
      <c r="M193" s="10" t="n"/>
      <c r="N193" s="34">
        <f>IF(A193="","",IF(OR(COUNTIF($A$8:$A$207,A193)&lt;&gt;1),"检查编号或关联","正常"))</f>
        <v/>
      </c>
    </row>
    <row r="194" ht="34" customHeight="1">
      <c r="A194" s="32" t="n"/>
      <c r="B194" s="33" t="n"/>
      <c r="C194" s="32" t="n"/>
      <c r="D194" s="10" t="n"/>
      <c r="E194" s="10" t="n"/>
      <c r="F194" s="10" t="n"/>
      <c r="G194" s="10" t="n"/>
      <c r="H194" s="10" t="n"/>
      <c r="I194" s="10" t="n"/>
      <c r="J194" s="10" t="n"/>
      <c r="K194" s="32" t="n"/>
      <c r="L194" s="10" t="n"/>
      <c r="M194" s="10" t="n"/>
      <c r="N194" s="34">
        <f>IF(A194="","",IF(OR(COUNTIF($A$8:$A$207,A194)&lt;&gt;1),"检查编号或关联","正常"))</f>
        <v/>
      </c>
    </row>
    <row r="195" ht="34" customHeight="1">
      <c r="A195" s="32" t="n"/>
      <c r="B195" s="33" t="n"/>
      <c r="C195" s="32" t="n"/>
      <c r="D195" s="10" t="n"/>
      <c r="E195" s="10" t="n"/>
      <c r="F195" s="10" t="n"/>
      <c r="G195" s="10" t="n"/>
      <c r="H195" s="10" t="n"/>
      <c r="I195" s="10" t="n"/>
      <c r="J195" s="10" t="n"/>
      <c r="K195" s="32" t="n"/>
      <c r="L195" s="10" t="n"/>
      <c r="M195" s="10" t="n"/>
      <c r="N195" s="34">
        <f>IF(A195="","",IF(OR(COUNTIF($A$8:$A$207,A195)&lt;&gt;1),"检查编号或关联","正常"))</f>
        <v/>
      </c>
    </row>
    <row r="196" ht="34" customHeight="1">
      <c r="A196" s="32" t="n"/>
      <c r="B196" s="33" t="n"/>
      <c r="C196" s="32" t="n"/>
      <c r="D196" s="10" t="n"/>
      <c r="E196" s="10" t="n"/>
      <c r="F196" s="10" t="n"/>
      <c r="G196" s="10" t="n"/>
      <c r="H196" s="10" t="n"/>
      <c r="I196" s="10" t="n"/>
      <c r="J196" s="10" t="n"/>
      <c r="K196" s="32" t="n"/>
      <c r="L196" s="10" t="n"/>
      <c r="M196" s="10" t="n"/>
      <c r="N196" s="34">
        <f>IF(A196="","",IF(OR(COUNTIF($A$8:$A$207,A196)&lt;&gt;1),"检查编号或关联","正常"))</f>
        <v/>
      </c>
    </row>
    <row r="197" ht="34" customHeight="1">
      <c r="A197" s="32" t="n"/>
      <c r="B197" s="33" t="n"/>
      <c r="C197" s="32" t="n"/>
      <c r="D197" s="10" t="n"/>
      <c r="E197" s="10" t="n"/>
      <c r="F197" s="10" t="n"/>
      <c r="G197" s="10" t="n"/>
      <c r="H197" s="10" t="n"/>
      <c r="I197" s="10" t="n"/>
      <c r="J197" s="10" t="n"/>
      <c r="K197" s="32" t="n"/>
      <c r="L197" s="10" t="n"/>
      <c r="M197" s="10" t="n"/>
      <c r="N197" s="34">
        <f>IF(A197="","",IF(OR(COUNTIF($A$8:$A$207,A197)&lt;&gt;1),"检查编号或关联","正常"))</f>
        <v/>
      </c>
    </row>
    <row r="198" ht="34" customHeight="1">
      <c r="A198" s="32" t="n"/>
      <c r="B198" s="33" t="n"/>
      <c r="C198" s="32" t="n"/>
      <c r="D198" s="10" t="n"/>
      <c r="E198" s="10" t="n"/>
      <c r="F198" s="10" t="n"/>
      <c r="G198" s="10" t="n"/>
      <c r="H198" s="10" t="n"/>
      <c r="I198" s="10" t="n"/>
      <c r="J198" s="10" t="n"/>
      <c r="K198" s="32" t="n"/>
      <c r="L198" s="10" t="n"/>
      <c r="M198" s="10" t="n"/>
      <c r="N198" s="34">
        <f>IF(A198="","",IF(OR(COUNTIF($A$8:$A$207,A198)&lt;&gt;1),"检查编号或关联","正常"))</f>
        <v/>
      </c>
    </row>
    <row r="199" ht="34" customHeight="1">
      <c r="A199" s="32" t="n"/>
      <c r="B199" s="33" t="n"/>
      <c r="C199" s="32" t="n"/>
      <c r="D199" s="10" t="n"/>
      <c r="E199" s="10" t="n"/>
      <c r="F199" s="10" t="n"/>
      <c r="G199" s="10" t="n"/>
      <c r="H199" s="10" t="n"/>
      <c r="I199" s="10" t="n"/>
      <c r="J199" s="10" t="n"/>
      <c r="K199" s="32" t="n"/>
      <c r="L199" s="10" t="n"/>
      <c r="M199" s="10" t="n"/>
      <c r="N199" s="34">
        <f>IF(A199="","",IF(OR(COUNTIF($A$8:$A$207,A199)&lt;&gt;1),"检查编号或关联","正常"))</f>
        <v/>
      </c>
    </row>
    <row r="200" ht="34" customHeight="1">
      <c r="A200" s="32" t="n"/>
      <c r="B200" s="33" t="n"/>
      <c r="C200" s="32" t="n"/>
      <c r="D200" s="10" t="n"/>
      <c r="E200" s="10" t="n"/>
      <c r="F200" s="10" t="n"/>
      <c r="G200" s="10" t="n"/>
      <c r="H200" s="10" t="n"/>
      <c r="I200" s="10" t="n"/>
      <c r="J200" s="10" t="n"/>
      <c r="K200" s="32" t="n"/>
      <c r="L200" s="10" t="n"/>
      <c r="M200" s="10" t="n"/>
      <c r="N200" s="34">
        <f>IF(A200="","",IF(OR(COUNTIF($A$8:$A$207,A200)&lt;&gt;1),"检查编号或关联","正常"))</f>
        <v/>
      </c>
    </row>
    <row r="201" ht="34" customHeight="1">
      <c r="A201" s="32" t="n"/>
      <c r="B201" s="33" t="n"/>
      <c r="C201" s="32" t="n"/>
      <c r="D201" s="10" t="n"/>
      <c r="E201" s="10" t="n"/>
      <c r="F201" s="10" t="n"/>
      <c r="G201" s="10" t="n"/>
      <c r="H201" s="10" t="n"/>
      <c r="I201" s="10" t="n"/>
      <c r="J201" s="10" t="n"/>
      <c r="K201" s="32" t="n"/>
      <c r="L201" s="10" t="n"/>
      <c r="M201" s="10" t="n"/>
      <c r="N201" s="34">
        <f>IF(A201="","",IF(OR(COUNTIF($A$8:$A$207,A201)&lt;&gt;1),"检查编号或关联","正常"))</f>
        <v/>
      </c>
    </row>
    <row r="202" ht="34" customHeight="1">
      <c r="A202" s="32" t="n"/>
      <c r="B202" s="33" t="n"/>
      <c r="C202" s="32" t="n"/>
      <c r="D202" s="10" t="n"/>
      <c r="E202" s="10" t="n"/>
      <c r="F202" s="10" t="n"/>
      <c r="G202" s="10" t="n"/>
      <c r="H202" s="10" t="n"/>
      <c r="I202" s="10" t="n"/>
      <c r="J202" s="10" t="n"/>
      <c r="K202" s="32" t="n"/>
      <c r="L202" s="10" t="n"/>
      <c r="M202" s="10" t="n"/>
      <c r="N202" s="34">
        <f>IF(A202="","",IF(OR(COUNTIF($A$8:$A$207,A202)&lt;&gt;1),"检查编号或关联","正常"))</f>
        <v/>
      </c>
    </row>
    <row r="203" ht="34" customHeight="1">
      <c r="A203" s="32" t="n"/>
      <c r="B203" s="33" t="n"/>
      <c r="C203" s="32" t="n"/>
      <c r="D203" s="10" t="n"/>
      <c r="E203" s="10" t="n"/>
      <c r="F203" s="10" t="n"/>
      <c r="G203" s="10" t="n"/>
      <c r="H203" s="10" t="n"/>
      <c r="I203" s="10" t="n"/>
      <c r="J203" s="10" t="n"/>
      <c r="K203" s="32" t="n"/>
      <c r="L203" s="10" t="n"/>
      <c r="M203" s="10" t="n"/>
      <c r="N203" s="34">
        <f>IF(A203="","",IF(OR(COUNTIF($A$8:$A$207,A203)&lt;&gt;1),"检查编号或关联","正常"))</f>
        <v/>
      </c>
    </row>
    <row r="204" ht="34" customHeight="1">
      <c r="A204" s="32" t="n"/>
      <c r="B204" s="33" t="n"/>
      <c r="C204" s="32" t="n"/>
      <c r="D204" s="10" t="n"/>
      <c r="E204" s="10" t="n"/>
      <c r="F204" s="10" t="n"/>
      <c r="G204" s="10" t="n"/>
      <c r="H204" s="10" t="n"/>
      <c r="I204" s="10" t="n"/>
      <c r="J204" s="10" t="n"/>
      <c r="K204" s="32" t="n"/>
      <c r="L204" s="10" t="n"/>
      <c r="M204" s="10" t="n"/>
      <c r="N204" s="34">
        <f>IF(A204="","",IF(OR(COUNTIF($A$8:$A$207,A204)&lt;&gt;1),"检查编号或关联","正常"))</f>
        <v/>
      </c>
    </row>
    <row r="205" ht="34" customHeight="1">
      <c r="A205" s="32" t="n"/>
      <c r="B205" s="33" t="n"/>
      <c r="C205" s="32" t="n"/>
      <c r="D205" s="10" t="n"/>
      <c r="E205" s="10" t="n"/>
      <c r="F205" s="10" t="n"/>
      <c r="G205" s="10" t="n"/>
      <c r="H205" s="10" t="n"/>
      <c r="I205" s="10" t="n"/>
      <c r="J205" s="10" t="n"/>
      <c r="K205" s="32" t="n"/>
      <c r="L205" s="10" t="n"/>
      <c r="M205" s="10" t="n"/>
      <c r="N205" s="34">
        <f>IF(A205="","",IF(OR(COUNTIF($A$8:$A$207,A205)&lt;&gt;1),"检查编号或关联","正常"))</f>
        <v/>
      </c>
    </row>
    <row r="206" ht="34" customHeight="1">
      <c r="A206" s="32" t="n"/>
      <c r="B206" s="33" t="n"/>
      <c r="C206" s="32" t="n"/>
      <c r="D206" s="10" t="n"/>
      <c r="E206" s="10" t="n"/>
      <c r="F206" s="10" t="n"/>
      <c r="G206" s="10" t="n"/>
      <c r="H206" s="10" t="n"/>
      <c r="I206" s="10" t="n"/>
      <c r="J206" s="10" t="n"/>
      <c r="K206" s="32" t="n"/>
      <c r="L206" s="10" t="n"/>
      <c r="M206" s="10" t="n"/>
      <c r="N206" s="34">
        <f>IF(A206="","",IF(OR(COUNTIF($A$8:$A$207,A206)&lt;&gt;1),"检查编号或关联","正常"))</f>
        <v/>
      </c>
    </row>
    <row r="207" ht="34" customHeight="1">
      <c r="A207" s="32" t="n"/>
      <c r="B207" s="33" t="n"/>
      <c r="C207" s="32" t="n"/>
      <c r="D207" s="10" t="n"/>
      <c r="E207" s="10" t="n"/>
      <c r="F207" s="10" t="n"/>
      <c r="G207" s="10" t="n"/>
      <c r="H207" s="10" t="n"/>
      <c r="I207" s="10" t="n"/>
      <c r="J207" s="10" t="n"/>
      <c r="K207" s="32" t="n"/>
      <c r="L207" s="10" t="n"/>
      <c r="M207" s="10" t="n"/>
      <c r="N207" s="34">
        <f>IF(A207="","",IF(OR(COUNTIF($A$8:$A$207,A207)&lt;&gt;1),"检查编号或关联","正常"))</f>
        <v/>
      </c>
    </row>
  </sheetData>
  <conditionalFormatting sqref="A8:A207">
    <cfRule type="expression" priority="1" dxfId="0">
      <formula>AND(A8&lt;&gt;"",COUNTIF($A$8:$A$207,A8)&gt;1)</formula>
    </cfRule>
  </conditionalFormatting>
  <conditionalFormatting sqref="N8:N207">
    <cfRule type="containsText" priority="2" operator="containsText" dxfId="0" text="检查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B1A58B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n"/>
      <c r="B1" s="25" t="n"/>
      <c r="C1" s="1" t="n"/>
      <c r="D1" s="1" t="n"/>
      <c r="E1" s="1" t="n"/>
      <c r="F1" s="1" t="n"/>
      <c r="G1" s="1" t="n"/>
      <c r="H1" s="1" t="n"/>
    </row>
    <row r="2" ht="30" customHeight="1">
      <c r="A2" s="22" t="inlineStr">
        <is>
          <t>填写与每天使用</t>
        </is>
      </c>
      <c r="B2" s="25" t="n"/>
      <c r="C2" s="1" t="n"/>
      <c r="D2" s="1" t="n"/>
      <c r="E2" s="1" t="n"/>
      <c r="F2" s="1" t="n"/>
      <c r="G2" s="1" t="n"/>
      <c r="H2" s="1" t="n"/>
    </row>
    <row r="3" ht="30" customHeight="1">
      <c r="A3" s="1" t="n"/>
      <c r="B3" s="25" t="n"/>
      <c r="C3" s="1" t="n"/>
      <c r="D3" s="1" t="n"/>
      <c r="E3" s="1" t="n"/>
      <c r="F3" s="1" t="n"/>
      <c r="G3" s="1" t="n"/>
      <c r="H3" s="1" t="n"/>
    </row>
    <row r="4" ht="30" customHeight="1">
      <c r="A4" s="27" t="inlineStr">
        <is>
          <t>用途</t>
        </is>
      </c>
      <c r="B4" s="25" t="inlineStr">
        <is>
          <t>个人本地Excel；本版不自动读取录音、不调用AI，也不与Notion或网页自动同步。</t>
        </is>
      </c>
      <c r="C4" s="1" t="n"/>
      <c r="D4" s="1" t="n"/>
      <c r="E4" s="1" t="n"/>
      <c r="F4" s="1" t="n"/>
      <c r="G4" s="1" t="n"/>
      <c r="H4" s="1" t="n"/>
    </row>
    <row r="5" ht="30" customHeight="1">
      <c r="A5" s="27" t="inlineStr">
        <is>
          <t>提醒基准日</t>
        </is>
      </c>
      <c r="B5" s="39" t="n">
        <v>46310</v>
      </c>
      <c r="C5" s="1" t="n"/>
      <c r="D5" s="1" t="n"/>
      <c r="E5" s="1" t="n"/>
      <c r="F5" s="1" t="n"/>
      <c r="G5" s="1" t="n"/>
      <c r="H5" s="1" t="n"/>
    </row>
    <row r="6" ht="30" customHeight="1">
      <c r="A6" s="27" t="inlineStr">
        <is>
          <t>日期使用</t>
        </is>
      </c>
      <c r="B6" s="25" t="inlineStr">
        <is>
          <t>打开时把B5改成你实际工作的日期。提醒不会后台通知；日期未设定的任务显示“待定日期”。</t>
        </is>
      </c>
      <c r="C6" s="1" t="n"/>
      <c r="D6" s="1" t="n"/>
      <c r="E6" s="1" t="n"/>
      <c r="F6" s="1" t="n"/>
      <c r="G6" s="1" t="n"/>
      <c r="H6" s="1" t="n"/>
    </row>
    <row r="7" ht="30" customHeight="1">
      <c r="A7" s="27" t="n"/>
      <c r="B7" s="25" t="n"/>
      <c r="C7" s="1" t="n"/>
      <c r="D7" s="1" t="n"/>
      <c r="E7" s="1" t="n"/>
      <c r="F7" s="1" t="n"/>
      <c r="G7" s="1" t="n"/>
      <c r="H7" s="1" t="n"/>
    </row>
    <row r="8" ht="30" customHeight="1">
      <c r="A8" s="27" t="inlineStr">
        <is>
          <t>每天先看</t>
        </is>
      </c>
      <c r="B8" s="25" t="inlineStr">
        <is>
          <t>打开“跟进待办”，按提醒筛选今日跟进、已逾期、待定日期。</t>
        </is>
      </c>
      <c r="C8" s="1" t="n"/>
      <c r="D8" s="1" t="n"/>
      <c r="E8" s="1" t="n"/>
      <c r="F8" s="1" t="n"/>
      <c r="G8" s="1" t="n"/>
      <c r="H8" s="1" t="n"/>
    </row>
    <row r="9" ht="30" customHeight="1">
      <c r="A9" s="27" t="inlineStr">
        <is>
          <t>首次登记</t>
        </is>
      </c>
      <c r="B9" s="25" t="inlineStr">
        <is>
          <t>先填公司，再填联系人及用胶项目。已有公司不用重复新建。</t>
        </is>
      </c>
      <c r="C9" s="1" t="n"/>
      <c r="D9" s="1" t="n"/>
      <c r="E9" s="1" t="n"/>
      <c r="F9" s="1" t="n"/>
      <c r="G9" s="1" t="n"/>
      <c r="H9" s="1" t="n"/>
    </row>
    <row r="10" ht="30" customHeight="1">
      <c r="A10" s="27" t="inlineStr">
        <is>
          <t>沟通结束</t>
        </is>
      </c>
      <c r="B10" s="25" t="inlineStr">
        <is>
          <t>新增沟通记录；客户原话、我方原话、事实、AI推测分栏记录。</t>
        </is>
      </c>
      <c r="C10" s="1" t="n"/>
      <c r="D10" s="1" t="n"/>
      <c r="E10" s="1" t="n"/>
      <c r="F10" s="1" t="n"/>
      <c r="G10" s="1" t="n"/>
      <c r="H10" s="1" t="n"/>
    </row>
    <row r="11" ht="30" customHeight="1">
      <c r="A11" s="27" t="inlineStr">
        <is>
          <t>生成行动</t>
        </is>
      </c>
      <c r="B11" s="25" t="inlineStr">
        <is>
          <t>在跟进待办新增一行；写具体对象、动作、日期依据与完成证据。</t>
        </is>
      </c>
      <c r="C11" s="1" t="n"/>
      <c r="D11" s="1" t="n"/>
      <c r="E11" s="1" t="n"/>
      <c r="F11" s="1" t="n"/>
      <c r="G11" s="1" t="n"/>
      <c r="H11" s="1" t="n"/>
    </row>
    <row r="12" ht="30" customHeight="1">
      <c r="A12" s="27" t="inlineStr">
        <is>
          <t>需要寄样</t>
        </is>
      </c>
      <c r="B12" s="25" t="inlineStr">
        <is>
          <t>一个项目的一种型号和一个批次一行；数量与单位分开填，未确认留空。</t>
        </is>
      </c>
      <c r="C12" s="1" t="n"/>
      <c r="D12" s="1" t="n"/>
      <c r="E12" s="1" t="n"/>
      <c r="F12" s="1" t="n"/>
      <c r="G12" s="1" t="n"/>
      <c r="H12" s="1" t="n"/>
    </row>
    <row r="13" ht="30" customHeight="1">
      <c r="A13" s="27" t="inlineStr">
        <is>
          <t>回收结果</t>
        </is>
      </c>
      <c r="B13" s="25" t="inlineStr">
        <is>
          <t>样品表更新签收与测试结果；后续催反馈或补资料放进跟进待办。</t>
        </is>
      </c>
      <c r="C13" s="1" t="n"/>
      <c r="D13" s="1" t="n"/>
      <c r="E13" s="1" t="n"/>
      <c r="F13" s="1" t="n"/>
      <c r="G13" s="1" t="n"/>
      <c r="H13" s="1" t="n"/>
    </row>
    <row r="14" ht="30" customHeight="1">
      <c r="A14" s="27" t="inlineStr">
        <is>
          <t>问熟练销售</t>
        </is>
      </c>
      <c r="B14" s="25" t="inlineStr">
        <is>
          <t>技术经验记录原答复、为什么选、为什么不选、适用条件、来源和客户验证。</t>
        </is>
      </c>
      <c r="C14" s="1" t="n"/>
      <c r="D14" s="1" t="n"/>
      <c r="E14" s="1" t="n"/>
      <c r="F14" s="1" t="n"/>
      <c r="G14" s="1" t="n"/>
      <c r="H14" s="1" t="n"/>
    </row>
    <row r="15" ht="30" customHeight="1">
      <c r="A15" s="27" t="inlineStr">
        <is>
          <t>每天收尾</t>
        </is>
      </c>
      <c r="B15" s="25" t="inlineStr">
        <is>
          <t>每日复盘只记关键改进和一个次日目标，任务编号指向跟进待办。</t>
        </is>
      </c>
      <c r="C15" s="1" t="n"/>
      <c r="D15" s="1" t="n"/>
      <c r="E15" s="1" t="n"/>
      <c r="F15" s="1" t="n"/>
      <c r="G15" s="1" t="n"/>
      <c r="H15" s="1" t="n"/>
    </row>
    <row r="16" ht="30" customHeight="1">
      <c r="A16" s="27" t="n"/>
      <c r="B16" s="25" t="n"/>
      <c r="C16" s="1" t="n"/>
      <c r="D16" s="1" t="n"/>
      <c r="E16" s="1" t="n"/>
      <c r="F16" s="1" t="n"/>
      <c r="G16" s="1" t="n"/>
      <c r="H16" s="1" t="n"/>
    </row>
    <row r="17" ht="30" customHeight="1">
      <c r="A17" s="27" t="inlineStr">
        <is>
          <t>编号规则</t>
        </is>
      </c>
      <c r="B17" s="25" t="inlineStr">
        <is>
          <t>C公司、P联系人、J项目、V沟通、S样品、T任务、K问答、D复盘；例如C0001。</t>
        </is>
      </c>
      <c r="C17" s="1" t="n"/>
      <c r="D17" s="1" t="n"/>
      <c r="E17" s="1" t="n"/>
      <c r="F17" s="1" t="n"/>
      <c r="G17" s="1" t="n"/>
      <c r="H17" s="1" t="n"/>
    </row>
    <row r="18" ht="30" customHeight="1">
      <c r="A18" s="27" t="inlineStr">
        <is>
          <t>编号不要改</t>
        </is>
      </c>
      <c r="B18" s="25" t="inlineStr">
        <is>
          <t>编号手动分配且唯一，排序不会改变编号；复制行时给新记录分配新编号。</t>
        </is>
      </c>
      <c r="C18" s="1" t="n"/>
      <c r="D18" s="1" t="n"/>
      <c r="E18" s="1" t="n"/>
      <c r="F18" s="1" t="n"/>
      <c r="G18" s="1" t="n"/>
      <c r="H18" s="1" t="n"/>
    </row>
    <row r="19" ht="30" customHeight="1">
      <c r="A19" s="27" t="inlineStr">
        <is>
          <t>双向查找</t>
        </is>
      </c>
      <c r="B19" s="25" t="inlineStr">
        <is>
          <t>按同一公司编号或项目编号筛选各表，可回查联系人、沟通和样品；不是Notion自动反向页面。</t>
        </is>
      </c>
      <c r="C19" s="1" t="n"/>
      <c r="D19" s="1" t="n"/>
      <c r="E19" s="1" t="n"/>
      <c r="F19" s="1" t="n"/>
      <c r="G19" s="1" t="n"/>
      <c r="H19" s="1" t="n"/>
    </row>
    <row r="20" ht="30" customHeight="1">
      <c r="A20" s="27" t="inlineStr">
        <is>
          <t>校验范围</t>
        </is>
      </c>
      <c r="B20" s="25" t="inlineStr">
        <is>
          <t>灰列检查编号存在且唯一；联系人是否属于该公司、任务是否属于该项目仍需核对。</t>
        </is>
      </c>
      <c r="C20" s="1" t="n"/>
      <c r="D20" s="1" t="n"/>
      <c r="E20" s="1" t="n"/>
      <c r="F20" s="1" t="n"/>
      <c r="G20" s="1" t="n"/>
      <c r="H20" s="1" t="n"/>
    </row>
    <row r="21" ht="30" customHeight="1">
      <c r="A21" s="27" t="inlineStr">
        <is>
          <t>输入与公式</t>
        </is>
      </c>
      <c r="B21" s="25" t="inlineStr">
        <is>
          <t>淡黄色输入，浅灰色公式。第5行为虚构示例，不参与提醒与关联，不作实际客户。</t>
        </is>
      </c>
      <c r="C21" s="1" t="n"/>
      <c r="D21" s="1" t="n"/>
      <c r="E21" s="1" t="n"/>
      <c r="F21" s="1" t="n"/>
      <c r="G21" s="1" t="n"/>
      <c r="H21" s="1" t="n"/>
    </row>
    <row r="22" ht="30" customHeight="1">
      <c r="A22" s="27" t="inlineStr">
        <is>
          <t>数量与未知</t>
        </is>
      </c>
      <c r="B22" s="25" t="inlineStr">
        <is>
          <t>空白表示未填写或未知，不代表0；客户生产用量和寄样数量分别填写。</t>
        </is>
      </c>
      <c r="C22" s="1" t="n"/>
      <c r="D22" s="1" t="n"/>
      <c r="E22" s="1" t="n"/>
      <c r="F22" s="1" t="n"/>
      <c r="G22" s="1" t="n"/>
      <c r="H22" s="1" t="n"/>
    </row>
    <row r="23" ht="30" customHeight="1">
      <c r="A23" s="27" t="inlineStr">
        <is>
          <t>正式数据范围</t>
        </is>
      </c>
      <c r="B23" s="25" t="inlineStr">
        <is>
          <t>每张业务表第8至207行，共200条。超出前需扩展表格、公式、验证和所有关联范围。</t>
        </is>
      </c>
      <c r="C23" s="1" t="n"/>
      <c r="D23" s="1" t="n"/>
      <c r="E23" s="1" t="n"/>
      <c r="F23" s="1" t="n"/>
      <c r="G23" s="1" t="n"/>
      <c r="H23" s="1" t="n"/>
    </row>
    <row r="24" ht="30" customHeight="1">
      <c r="A24" s="27" t="inlineStr">
        <is>
          <t>长记录</t>
        </is>
      </c>
      <c r="B24" s="25" t="inlineStr">
        <is>
          <t>原始录音和完整转写保留本地原件，本表只记录关键片段与原文件位置。</t>
        </is>
      </c>
      <c r="C24" s="1" t="n"/>
      <c r="D24" s="1" t="n"/>
      <c r="E24" s="1" t="n"/>
      <c r="F24" s="1" t="n"/>
      <c r="G24" s="1" t="n"/>
      <c r="H24" s="1" t="n"/>
    </row>
    <row r="25" ht="30" customHeight="1">
      <c r="A25" s="27" t="inlineStr">
        <is>
          <t>完成口径</t>
        </is>
      </c>
      <c r="B25" s="25" t="inlineStr">
        <is>
          <t>已完成任务应同时有完成日期和证据；寄出不等于签收，签收不等于测试通过。</t>
        </is>
      </c>
      <c r="C25" s="1" t="n"/>
      <c r="D25" s="1" t="n"/>
      <c r="E25" s="1" t="n"/>
      <c r="F25" s="1" t="n"/>
      <c r="G25" s="1" t="n"/>
      <c r="H25" s="1" t="n"/>
    </row>
    <row r="26" ht="30" customHeight="1">
      <c r="A26" s="27" t="inlineStr">
        <is>
          <t>国内国外共用</t>
        </is>
      </c>
      <c r="B26" s="25" t="inlineStr">
        <is>
          <t>公司表区分市场与国家；联系人表记录语言、时区、邮箱和社交媒体。</t>
        </is>
      </c>
      <c r="C26" s="1" t="n"/>
      <c r="D26" s="1" t="n"/>
      <c r="E26" s="1" t="n"/>
      <c r="F26" s="1" t="n"/>
      <c r="G26" s="1" t="n"/>
      <c r="H26" s="1" t="n"/>
    </row>
    <row r="27" ht="30" customHeight="1">
      <c r="A27" s="27" t="inlineStr">
        <is>
          <t>数据保存</t>
        </is>
      </c>
      <c r="B27" s="25" t="inlineStr">
        <is>
          <t>使用Excel保存此工作簿；定期复制备份。当前未导入你电脑上的客户数据。</t>
        </is>
      </c>
      <c r="C27" s="1" t="n"/>
      <c r="D27" s="1" t="n"/>
      <c r="E27" s="1" t="n"/>
      <c r="F27" s="1" t="n"/>
      <c r="G27" s="1" t="n"/>
      <c r="H27" s="1" t="n"/>
    </row>
    <row r="28" ht="30" customHeight="1">
      <c r="A28" s="27" t="n"/>
      <c r="B28" s="25" t="n"/>
      <c r="C28" s="1" t="n"/>
      <c r="D28" s="1" t="n"/>
      <c r="E28" s="1" t="n"/>
      <c r="F28" s="1" t="n"/>
      <c r="G28" s="1" t="n"/>
      <c r="H28" s="1" t="n"/>
    </row>
    <row r="29" ht="30" customHeight="1">
      <c r="A29" s="27" t="inlineStr">
        <is>
          <t>结构依据</t>
        </is>
      </c>
      <c r="B29" s="25" t="inlineStr">
        <is>
          <t>用户本轮需求；《销冠深度访谈执行手册》第十、十一、十四节。字段是本次业务适配。</t>
        </is>
      </c>
      <c r="C29" s="1" t="n"/>
      <c r="D29" s="1" t="n"/>
      <c r="E29" s="1" t="n"/>
      <c r="F29" s="1" t="n"/>
      <c r="G29" s="1" t="n"/>
      <c r="H29" s="1" t="n"/>
    </row>
    <row r="30" ht="30" customHeight="1">
      <c r="A30" s="27" t="inlineStr">
        <is>
          <t>产品资料</t>
        </is>
      </c>
      <c r="B30" s="25" t="inlineStr">
        <is>
          <t>本版不预填产品参数与型号推荐。选型引用适用的正式资料及版本。</t>
        </is>
      </c>
      <c r="C30" s="1" t="n"/>
      <c r="D30" s="1" t="n"/>
      <c r="E30" s="1" t="n"/>
      <c r="F30" s="1" t="n"/>
      <c r="G30" s="1" t="n"/>
      <c r="H30" s="1" t="n"/>
    </row>
    <row r="31" ht="30" customHeight="1">
      <c r="A31" s="27" t="inlineStr">
        <is>
          <t>经验适用边界</t>
        </is>
      </c>
      <c r="B31" s="25" t="inlineStr">
        <is>
          <t>同事经验、正式资料和客户测试支持分别标记；冲突保留原文并列为待核。</t>
        </is>
      </c>
      <c r="C31" s="1" t="n"/>
      <c r="D31" s="1" t="n"/>
      <c r="E31" s="1" t="n"/>
      <c r="F31" s="1" t="n"/>
      <c r="G31" s="1" t="n"/>
      <c r="H31" s="1" t="n"/>
    </row>
    <row r="32" ht="30" customHeight="1">
      <c r="A32" s="27" t="n"/>
      <c r="B32" s="25" t="n"/>
      <c r="C32" s="1" t="n"/>
      <c r="D32" s="1" t="n"/>
      <c r="E32" s="1" t="n"/>
      <c r="F32" s="1" t="n"/>
      <c r="G32" s="1" t="n"/>
      <c r="H32" s="1" t="n"/>
    </row>
    <row r="33" ht="30" customHeight="1">
      <c r="A33" s="27" t="inlineStr">
        <is>
          <t>使用示例</t>
        </is>
      </c>
      <c r="B33" s="25" t="inlineStr">
        <is>
          <t>各表第5行共享“示例001”编号，演示一个虚构项目的关联；请从第8行填真实记录。</t>
        </is>
      </c>
      <c r="C33" s="1" t="n"/>
      <c r="D33" s="1" t="n"/>
      <c r="E33" s="1" t="n"/>
      <c r="F33" s="1" t="n"/>
      <c r="G33" s="1" t="n"/>
      <c r="H33" s="1" t="n"/>
    </row>
    <row r="34" ht="30" customHeight="1">
      <c r="A34" s="27" t="inlineStr">
        <is>
          <t>示例的日期与量</t>
        </is>
      </c>
      <c r="B34" s="25" t="inlineStr">
        <is>
          <t>示例中的日期、0.5kg均为填写格式演示，不代表计划、建议用量或实际寄样。</t>
        </is>
      </c>
      <c r="C34" s="1" t="n"/>
      <c r="D34" s="1" t="n"/>
      <c r="E34" s="1" t="n"/>
      <c r="F34" s="1" t="n"/>
      <c r="G34" s="1" t="n"/>
      <c r="H34" s="1" t="n"/>
    </row>
    <row r="35" ht="30" customHeight="1">
      <c r="A35" s="27" t="n"/>
      <c r="B35" s="25" t="n"/>
      <c r="C35" s="1" t="n"/>
      <c r="D35" s="1" t="n"/>
      <c r="E35" s="1" t="n"/>
      <c r="F35" s="1" t="n"/>
      <c r="G35" s="1" t="n"/>
      <c r="H35" s="1" t="n"/>
    </row>
    <row r="36" ht="30" customHeight="1">
      <c r="A36" s="27" t="inlineStr">
        <is>
          <t>下一步接入</t>
        </is>
      </c>
      <c r="B36" s="25" t="inlineStr">
        <is>
          <t>确认客户文件位置后，核对列名、重复公司与联系人，再导入本工作簿。</t>
        </is>
      </c>
      <c r="C36" s="1" t="n"/>
      <c r="D36" s="1" t="n"/>
      <c r="E36" s="1" t="n"/>
      <c r="F36" s="1" t="n"/>
      <c r="G36" s="1" t="n"/>
      <c r="H36" s="1" t="n"/>
    </row>
    <row r="37" ht="30" customHeight="1">
      <c r="A37" s="1" t="n"/>
      <c r="B37" s="25" t="n"/>
      <c r="C37" s="1" t="n"/>
      <c r="D37" s="1" t="n"/>
      <c r="E37" s="1" t="n"/>
      <c r="F37" s="1" t="n"/>
      <c r="G37" s="1" t="n"/>
      <c r="H37" s="1" t="n"/>
    </row>
    <row r="38" ht="30" customHeight="1">
      <c r="A38" s="1" t="inlineStr">
        <is>
          <t>当前正式任务数量</t>
        </is>
      </c>
      <c r="B38" s="28">
        <f>COUNTA('跟进待办'!A8:A207)</f>
        <v/>
      </c>
      <c r="C38" s="1" t="n"/>
      <c r="D38" s="1" t="n"/>
      <c r="E38" s="1" t="n"/>
      <c r="F38" s="1" t="n"/>
      <c r="G38" s="1" t="n"/>
      <c r="H38" s="1" t="n"/>
    </row>
    <row r="39" ht="30" customHeight="1">
      <c r="A39" s="1" t="inlineStr">
        <is>
          <t>今日跟进</t>
        </is>
      </c>
      <c r="B39" s="28">
        <f>COUNTIF('跟进待办'!P8:P207,"今日跟进")</f>
        <v/>
      </c>
      <c r="C39" s="1" t="n"/>
      <c r="D39" s="1" t="n"/>
      <c r="E39" s="1" t="n"/>
      <c r="F39" s="1" t="n"/>
      <c r="G39" s="1" t="n"/>
      <c r="H39" s="1" t="n"/>
    </row>
    <row r="40" ht="30" customHeight="1">
      <c r="A40" s="1" t="inlineStr">
        <is>
          <t>已逾期</t>
        </is>
      </c>
      <c r="B40" s="28">
        <f>COUNTIF('跟进待办'!P8:P207,"已逾期")</f>
        <v/>
      </c>
      <c r="C40" s="1" t="n"/>
      <c r="D40" s="1" t="n"/>
      <c r="E40" s="1" t="n"/>
      <c r="F40" s="1" t="n"/>
      <c r="G40" s="1" t="n"/>
      <c r="H40" s="1" t="n"/>
    </row>
    <row r="41" ht="30" customHeight="1">
      <c r="A41" s="1" t="n"/>
      <c r="B41" s="25" t="n"/>
      <c r="C41" s="1" t="n"/>
      <c r="D41" s="1" t="n"/>
      <c r="E41" s="1" t="n"/>
      <c r="F41" s="1" t="n"/>
      <c r="G41" s="1" t="n"/>
      <c r="H41" s="1" t="n"/>
    </row>
    <row r="42" ht="30" customHeight="1">
      <c r="A42" s="1" t="n"/>
      <c r="B42" s="25" t="n"/>
      <c r="C42" s="1" t="n"/>
      <c r="D42" s="1" t="n"/>
      <c r="E42" s="1" t="n"/>
      <c r="F42" s="1" t="n"/>
      <c r="G42" s="1" t="n"/>
      <c r="H4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2026-10-26T01:55:44Z</dcterms:created>
  <dcterms:modified xmlns:dcterms="http://purl.org/dc/terms/" xmlns:xsi="http://www.w3.org/2001/XMLSchema-instance" xsi:type="dcterms:W3CDTF">2026-10-26T01:55:44Z</dcterms:modified>
</cp:coreProperties>
</file>